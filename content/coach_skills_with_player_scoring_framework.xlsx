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eaae353e2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ills" sheetId="1" r:id="Rf09e6853616f4537"/>
    <x:sheet xmlns:r="http://schemas.openxmlformats.org/officeDocument/2006/relationships" name="Read me" sheetId="2" r:id="Rbc523fcd444a4b0a"/>
    <x:sheet xmlns:r="http://schemas.openxmlformats.org/officeDocument/2006/relationships" name="Scoring Framework" sheetId="3" r:id="Rdbd0e08c1fd84b72"/>
    <x:sheet xmlns:r="http://schemas.openxmlformats.org/officeDocument/2006/relationships" name="Player Assessment" sheetId="4" r:id="Rf652b786089e4e72"/>
  </x:sheets>
</x:workbook>
</file>

<file path=xl/sharedStrings.xml><?xml version="1.0" encoding="utf-8"?>
<x:sst xmlns:x="http://schemas.openxmlformats.org/spreadsheetml/2006/main">
  <x:si>
    <x:t xml:space="preserve">Pillar</x:t>
  </x:si>
  <x:si>
    <x:t xml:space="preserve">Sub-skill</x:t>
  </x:si>
  <x:si>
    <x:t xml:space="preserve">Icon</x:t>
  </x:si>
  <x:si>
    <x:t xml:space="preserve">What good looks like</x:t>
  </x:si>
  <x:si>
    <x:t xml:space="preserve">Activities</x:t>
  </x:si>
  <x:si>
    <x:t xml:space="preserve">Coaching cue</x:t>
  </x:si>
  <x:si>
    <x:t xml:space="preserve">Ways to improve (3)</x:t>
  </x:si>
  <x:si>
    <x:t xml:space="preserve">Technical</x:t>
  </x:si>
  <x:si>
    <x:t xml:space="preserve">First touch</x:t>
  </x:si>
  <x:si>
    <x:t xml:space="preserve">arrow-back-up</x:t>
  </x:si>
  <x:si>
    <x:t xml:space="preserve">Takes the ball out of the air or off the ground into space away from pressure, on both feet.</x:t>
  </x:si>
  <x:si>
    <x:t xml:space="preserve">Rondos with limited touches; gate receiving; receive-turn-play combos</x:t>
  </x:si>
  <x:si>
    <x:t xml:space="preserve">Check your shoulder before it arrives</x:t>
  </x:si>
  <x:si>
    <x:t xml:space="preserve">1) Wall cushion reps - rebound at varying heights/speeds, cushion dead, alternate feet. 2) Scan-and-turn rondo - bonus point for receiving on the half-turn. 3) Forced weak-foot small-sided games - first touch must be on weak foot to score.</x:t>
  </x:si>
  <x:si>
    <x:t xml:space="preserve">Passing</x:t>
  </x:si>
  <x:si>
    <x:t xml:space="preserve">arrows-right-left</x:t>
  </x:si>
  <x:si>
    <x:t xml:space="preserve">Accurate weight on both feet, played to the teammate's correct foot, early disguise emerging.</x:t>
  </x:si>
  <x:si>
    <x:t xml:space="preserve">4v2 and 5v2 rondos; passing patterns under light pressure; pass-and-move small-sided games</x:t>
  </x:si>
  <x:si>
    <x:t xml:space="preserve">Which foot does your teammate need it on?</x:t>
  </x:si>
  <x:si>
    <x:t xml:space="preserve">1) Target-gate passing - pass through small gates to a moving partner, rewards accuracy over power. 2) Both-feet rondo - possession game where a pass off the weak foot counts double. 3) One-touch progression - start two-touch, progress to one-touch as control improves, forces early decision-making.</x:t>
  </x:si>
  <x:si>
    <x:t xml:space="preserve">Dribbling</x:t>
  </x:si>
  <x:si>
    <x:t xml:space="preserve">run</x:t>
  </x:si>
  <x:si>
    <x:t xml:space="preserve">Used with purpose, to beat a player or escape pressure, on both feet, not for its own sake.</x:t>
  </x:si>
  <x:si>
    <x:t xml:space="preserve">1v1s in small grids; dribble-through-gates; small-sided games with a beat-your-player bonus</x:t>
  </x:si>
  <x:si>
    <x:t xml:space="preserve">Attack when you have space, pass when you don't</x:t>
  </x:si>
  <x:si>
    <x:t xml:space="preserve">1) 1v1 grid battles - small grid, both feet, reward beating the defender not just keeping the ball. 2) Change-of-direction gates - dribble through a gate then immediately cut a different direction at a cone. 3) Scan-while-dribbling game - small-sided game where players call out a teammate's shirt color while dribbling, forces head-up control.</x:t>
  </x:si>
  <x:si>
    <x:t xml:space="preserve">Receiving</x:t>
  </x:si>
  <x:si>
    <x:t xml:space="preserve">eye</x:t>
  </x:si>
  <x:si>
    <x:t xml:space="preserve">Body orientation set before the ball arrives, so the next action is already open.</x:t>
  </x:si>
  <x:si>
    <x:t xml:space="preserve">Rondos that reward scanning; receive-on-the-half-turn games</x:t>
  </x:si>
  <x:si>
    <x:t xml:space="preserve">See it before you get it</x:t>
  </x:si>
  <x:si>
    <x:t xml:space="preserve">1) Shoulder-check reps - partner passes while receiver checks over shoulder every rep before the ball arrives. 2) Angled-approach receiving - receive from different angles/speeds to build adaptable body shape. 3) Receive-under-pressure rondo - add a passive defender closing down to force quicker decisions on the touch.</x:t>
  </x:si>
  <x:si>
    <x:t xml:space="preserve">Finishing</x:t>
  </x:si>
  <x:si>
    <x:t xml:space="preserve">target</x:t>
  </x:si>
  <x:si>
    <x:t xml:space="preserve">Composure and technique over raw power, on both feet, across different finish types.</x:t>
  </x:si>
  <x:si>
    <x:t xml:space="preserve">Small-sided games ending in a goal; 1v1-to-goal; finishing off crosses and cutbacks</x:t>
  </x:si>
  <x:si>
    <x:t xml:space="preserve">First touch sets up the shot</x:t>
  </x:si>
  <x:si>
    <x:t xml:space="preserve">1) Both-feet finishing reps - alternate strong/weak foot on every repetition from the same spot. 2) First-time finishing - service from wide or a cutback, finish first-time to build composure under speed. 3) Small-goal 1v1-to-goal - 1v1 starting just outside the box, rewards picking a spot over blasting the ball.</x:t>
  </x:si>
  <x:si>
    <x:t xml:space="preserve">Tactical</x:t>
  </x:si>
  <x:si>
    <x:t xml:space="preserve">Positioning</x:t>
  </x:si>
  <x:si>
    <x:t xml:space="preserve">map-pin</x:t>
  </x:si>
  <x:si>
    <x:t xml:space="preserve">Maintains team shape appropriate to role, keeps sensible width and depth, doesn't clump around the ball.</x:t>
  </x:si>
  <x:si>
    <x:t xml:space="preserve">Zoned small-sided games with channels; positional rondos with locked zones; shape games rewarding spacing</x:t>
  </x:si>
  <x:si>
    <x:t xml:space="preserve">Find your space</x:t>
  </x:si>
  <x:si>
    <x:t xml:space="preserve">1) Clumps around the ball - zoned games where players must stay in their channel. 2) Poor width - possession games that reward using the full width of the grid. 3) Loses shape after turnovers - transition games where the team must reset shape immediately after losing the ball.</x:t>
  </x:si>
  <x:si>
    <x:t xml:space="preserve">Scanning</x:t>
  </x:si>
  <x:si>
    <x:t xml:space="preserve">eye-search</x:t>
  </x:si>
  <x:si>
    <x:t xml:space="preserve">Checks surroundings before and while receiving, aware of teammates, opponents, and space - not just the ball.</x:t>
  </x:si>
  <x:si>
    <x:t xml:space="preserve">Color/number call games before receiving; forced-scan rondos; small-sided games requiring a name-call before passing</x:t>
  </x:si>
  <x:si>
    <x:t xml:space="preserve">Check often, not just once</x:t>
  </x:si>
  <x:si>
    <x:t xml:space="preserve">1) Doesn't scan before receiving - random-cue shoulder-check reps (coach claps, player scans). 2) Only scans once - continuous scanning rondo, must re-scan every few seconds regardless of ball distance. 3) Scans but doesn't use the info - reaction games where the scanned cue decides the next action.</x:t>
  </x:si>
  <x:si>
    <x:t xml:space="preserve">Decisions</x:t>
  </x:si>
  <x:si>
    <x:t xml:space="preserve">route</x:t>
  </x:si>
  <x:si>
    <x:t xml:space="preserve">Chooses pass, dribble, or shoot based on the actual situation in front of them, not habit.</x:t>
  </x:si>
  <x:si>
    <x:t xml:space="preserve">Overload/underload small-sided games; constrained-touch games to speed up reads; directional bonus-zone games</x:t>
  </x:si>
  <x:si>
    <x:t xml:space="preserve">What does the game ask for?</x:t>
  </x:si>
  <x:si>
    <x:t xml:space="preserve">1) Always dribbles regardless of options - overload games rewarding a quick pass when a teammate is open. 2) Rushes decisions - temporarily allow more touches to build composure, then reduce. 3) Freezes or hesitates - simplified 2-option games (pass or dribble only) to build decision confidence.</x:t>
  </x:si>
  <x:si>
    <x:t xml:space="preserve">Support</x:t>
  </x:si>
  <x:si>
    <x:t xml:space="preserve">users</x:t>
  </x:si>
  <x:si>
    <x:t xml:space="preserve">Moves to provide angles for the teammate in possession, offers depth and width, doesn't stand still.</x:t>
  </x:si>
  <x:si>
    <x:t xml:space="preserve">Pass-and-move possession games; third-man-running combos; shape games rewarding supporting angles</x:t>
  </x:si>
  <x:si>
    <x:t xml:space="preserve">Always give an option</x:t>
  </x:si>
  <x:si>
    <x:t xml:space="preserve">1) Stands still after passing - enforce pass-and-move, can't return to the same spot. 2) Supports too close to the ball carrier - rondos with a marked minimum support distance. 3) Slow to reposition after turnovers - transition games rewarding quick re-support after losing the ball.</x:t>
  </x:si>
  <x:si>
    <x:t xml:space="preserve">Movement</x:t>
  </x:si>
  <x:si>
    <x:t xml:space="preserve">arrows-shuffle</x:t>
  </x:si>
  <x:si>
    <x:t xml:space="preserve">Makes purposeful runs to create space or receive, timing them and varying type - checking away, coming short, going long.</x:t>
  </x:si>
  <x:si>
    <x:t xml:space="preserve">Small-sided games rewarding runs in behind; timed runs off a server's cue; disguised third-man-running patterns</x:t>
  </x:si>
  <x:si>
    <x:t xml:space="preserve">Move to be useful, not just busy</x:t>
  </x:si>
  <x:si>
    <x:t xml:space="preserve">1) Static off the ball - constrained games where standing still forfeits possession. 2) Poor run timing - server-triggered timed-run drills to build a sense of when to go. 3) Predictable movement - disguise games rewarding checking one way and going another.</x:t>
  </x:si>
  <x:si>
    <x:t xml:space="preserve">Physical</x:t>
  </x:si>
  <x:si>
    <x:t xml:space="preserve">Balance</x:t>
  </x:si>
  <x:si>
    <x:t xml:space="preserve">yoga</x:t>
  </x:si>
  <x:si>
    <x:t xml:space="preserve">Maintains control of the body while turning, shielding, or contesting the ball, and recovers from contact without losing footing.</x:t>
  </x:si>
  <x:si>
    <x:t xml:space="preserve">Single-leg balance games; shielding under controlled pressure; small-sided games on slightly uneven ground</x:t>
  </x:si>
  <x:si>
    <x:t xml:space="preserve">Stay low and strong</x:t>
  </x:si>
  <x:si>
    <x:t xml:space="preserve">1) Falls over in duels - shielding practice with controlled pushing, cueing a low center of gravity. 2) Loses footing on turns - single-leg balance combined with turning drills. 3) Weak core stability - balance-based warm-up games like single-leg ball taps.</x:t>
  </x:si>
  <x:si>
    <x:t xml:space="preserve">Coordination</x:t>
  </x:si>
  <x:si>
    <x:t xml:space="preserve">adjustments</x:t>
  </x:si>
  <x:si>
    <x:t xml:space="preserve">Syncs footwork, body, and ball control fluidly - can run, receive, and turn without stumbling.</x:t>
  </x:si>
  <x:si>
    <x:t xml:space="preserve">Footwork ladder into first-touch combos; multi-skill relay races; juggling progressions</x:t>
  </x:si>
  <x:si>
    <x:t xml:space="preserve">Smooth feet, soft touch</x:t>
  </x:si>
  <x:si>
    <x:t xml:space="preserve">1) Clumsy combining running and ball control - footwork ladder drills feeding directly into a first touch. 2) Struggles switching between skills quickly - multi-skill circuit relay (dribble, jump, pass in sequence). 3) Poor foot-eye sync - juggling progressions starting from self-toss and control.</x:t>
  </x:si>
  <x:si>
    <x:t xml:space="preserve">Agility</x:t>
  </x:si>
  <x:si>
    <x:t xml:space="preserve">activity</x:t>
  </x:si>
  <x:si>
    <x:t xml:space="preserve">Changes direction and speed quickly, especially reacting to an opponent or the ball rather than a fixed pattern.</x:t>
  </x:si>
  <x:si>
    <x:t xml:space="preserve">Reactive shuttle runs with a partner's signal; cone weaving with the ball; 1v1 mirror drills</x:t>
  </x:si>
  <x:si>
    <x:t xml:space="preserve">Quick feet, quick decisions</x:t>
  </x:si>
  <x:si>
    <x:t xml:space="preserve">1) Slow to change direction - short shuttle-style cone drills with the ball. 2) Poor reactive agility - mirror drills reacting to a partner's movement. 3) Predictable movement patterns - random-cue agility drills where the coach calls a direction or color.</x:t>
  </x:si>
  <x:si>
    <x:t xml:space="preserve">Speed</x:t>
  </x:si>
  <x:si>
    <x:t xml:space="preserve">bolt</x:t>
  </x:si>
  <x:si>
    <x:t xml:space="preserve">Accelerates quickly over short distances with good sprinting mechanics - most useful actions in a game happen in bursts under 20m.</x:t>
  </x:si>
  <x:si>
    <x:t xml:space="preserve">Varied-start sprint reps; short technical sprint drills; race-to-space small-sided games</x:t>
  </x:si>
  <x:si>
    <x:t xml:space="preserve">Explode, don't ease into it</x:t>
  </x:si>
  <x:si>
    <x:t xml:space="preserve">1) Slow off the mark - sprint starts from seated, lying, or jogging positions. 2) Poor sprint mechanics - short technical sprint drills focused on arm drive and knee lift over 10-15m. 3) Loses speed with the ball - race-to-space games combining a sprint with dribbling.</x:t>
  </x:si>
  <x:si>
    <x:t xml:space="preserve">Endurance</x:t>
  </x:si>
  <x:si>
    <x:t xml:space="preserve">battery-charging</x:t>
  </x:si>
  <x:si>
    <x:t xml:space="preserve">Maintains work rate and technical quality through a full session or game, without fading in the second half.</x:t>
  </x:si>
  <x:si>
    <x:t xml:space="preserve">Continuous small-sided games at match intensity; interval-based possession games; fun conditioning like tag games</x:t>
  </x:si>
  <x:si>
    <x:t xml:space="preserve">Keep your work rate up</x:t>
  </x:si>
  <x:si>
    <x:t xml:space="preserve">1) Fades in the second half - interval small-sided games that build work capacity gradually. 2) Poor recovery between efforts - short high-intensity bursts with active recovery periods. 3) Loses technical quality when tired - possession games with slightly extended duration under fatigue.</x:t>
  </x:si>
  <x:si>
    <x:t xml:space="preserve">Mental</x:t>
  </x:si>
  <x:si>
    <x:t xml:space="preserve">Confidence</x:t>
  </x:si>
  <x:si>
    <x:t xml:space="preserve">shield-check</x:t>
  </x:si>
  <x:si>
    <x:t xml:space="preserve">Willing to try skills in games without fear of failure, takes on 1v1s, and asks for the ball rather than hiding from it.</x:t>
  </x:si>
  <x:si>
    <x:t xml:space="preserve">Games that reward attempting a skill regardless of outcome; personal-best skill challenges (not compared to others); praise-effort coaching environment</x:t>
  </x:si>
  <x:si>
    <x:t xml:space="preserve">Play with freedom</x:t>
  </x:si>
  <x:si>
    <x:t xml:space="preserve">1) Always plays it safe - bonus points for attempting a 1v1 or skill move even if it doesn't come off. 2) Fears embarrassment after a mistake - next-play drills that immediately re-engage the player after an error. 3) Hesitant to ask for the ball - games that require calling for the ball out loud to receive it.</x:t>
  </x:si>
  <x:si>
    <x:t xml:space="preserve">Reaction to mistakes</x:t>
  </x:si>
  <x:si>
    <x:t xml:space="preserve">refresh</x:t>
  </x:si>
  <x:si>
    <x:t xml:space="preserve">Recovers quickly after an error, doesn't sulk or disengage, and gets straight back into the play.</x:t>
  </x:si>
  <x:si>
    <x:t xml:space="preserve">Next-ball mentality games; immediate transition-back drills after a giveaway; coach-modeled positive self-talk</x:t>
  </x:si>
  <x:si>
    <x:t xml:space="preserve">Next ball</x:t>
  </x:si>
  <x:si>
    <x:t xml:space="preserve">1) Dwells on errors, head drops - immediate re-engagement drills right after a mistake. 2) Avoids retrying after failing - repetition drills where the same skill is retried right away. 3) Negative self-talk - coach reframes and praises the attempt, not just the outcome.</x:t>
  </x:si>
  <x:si>
    <x:t xml:space="preserve">Concentration</x:t>
  </x:si>
  <x:si>
    <x:t xml:space="preserve">focus-2</x:t>
  </x:si>
  <x:si>
    <x:t xml:space="preserve">Stays engaged and switched-on through a full session, including the less exciting parts, without drifting off.</x:t>
  </x:si>
  <x:si>
    <x:t xml:space="preserve">Short game-based segments over long explanations; activities rotated every 8-10 minutes; decision-heavy games requiring constant attention</x:t>
  </x:si>
  <x:si>
    <x:t xml:space="preserve">Stay switched on</x:t>
  </x:si>
  <x:si>
    <x:t xml:space="preserve">1) Loses focus during instructions - keep talk short, demonstrate instead of explaining at length. 2) Drifts in low-intensity moments - rotate activities frequently, keep sessions game-based. 3) Struggles with distractions - gradually add game-relevant busyness (crowd, small-sided chaos) to build focus under real conditions.</x:t>
  </x:si>
  <x:si>
    <x:t xml:space="preserve">Social</x:t>
  </x:si>
  <x:si>
    <x:t xml:space="preserve">Communication</x:t>
  </x:si>
  <x:si>
    <x:t xml:space="preserve">message-2</x:t>
  </x:si>
  <x:si>
    <x:t xml:space="preserve">Talks to teammates during play - calling for the ball, warning of pressure, directing - rather than staying silent.</x:t>
  </x:si>
  <x:si>
    <x:t xml:space="preserve">Games requiring a verbal call to score or receive; communication-required rondos; 'no goal without a call' small-sided games</x:t>
  </x:si>
  <x:si>
    <x:t xml:space="preserve">Talk early, talk often</x:t>
  </x:si>
  <x:si>
    <x:t xml:space="preserve">1) Silent on and off the ball - require a verbal call before receiving or scoring. 2) Doesn't warn teammates under pressure - reward players who call 'man on' for a teammate. 3) Communicates but not useful info - teach specific vocabulary (time, man on, turn) tied to real situations.</x:t>
  </x:si>
  <x:si>
    <x:t xml:space="preserve">Teamwork</x:t>
  </x:si>
  <x:si>
    <x:t xml:space="preserve">users-group</x:t>
  </x:si>
  <x:si>
    <x:t xml:space="preserve">Plays for the team - shares the ball, includes all teammates, and celebrates others' success rather than just their own.</x:t>
  </x:si>
  <x:si>
    <x:t xml:space="preserve">Small-sided games rewarding assists as much as goals; rotating pairs/groups so everyone plays together; cooperative team-target challenges</x:t>
  </x:si>
  <x:si>
    <x:t xml:space="preserve">We before me</x:t>
  </x:si>
  <x:si>
    <x:t xml:space="preserve">1) Ball hogs, doesn't involve others - games that reward assists as much as goals. 2) Excludes weaker teammates - rotate pairs and groups so every player works with every player. 3) Doesn't celebrate others - coach models and rewards visible team celebration after any teammate's success.</x:t>
  </x:si>
  <x:si>
    <x:t xml:space="preserve">Response to coaching</x:t>
  </x:si>
  <x:si>
    <x:t xml:space="preserve">ear</x:t>
  </x:si>
  <x:si>
    <x:t xml:space="preserve">Listens to feedback, applies it without getting defensive, and asks questions when unsure rather than staying quiet.</x:t>
  </x:si>
  <x:si>
    <x:t xml:space="preserve">Immediate try-again drills right after a coaching point; short reflection questions after activities; peer feedback exercises</x:t>
  </x:si>
  <x:si>
    <x:t xml:space="preserve">Hear it, try it</x:t>
  </x:si>
  <x:si>
    <x:t xml:space="preserve">1) Ignores or resists feedback - immediate try-again drills straight after a coaching point. 2) Gets defensive or discouraged by correction - reframe as 'next step,' praise the adjustment attempt. 3) Doesn't ask questions when confused - build in a quick check-for-understanding moment before starting.</x:t>
  </x:si>
  <x:si>
    <x:t xml:space="preserve">How to use this in Glide</x:t>
  </x:si>
  <x:si>
    <x:t xml:space="preserve">1. Upload this file to Google Sheets (File &gt; Import in Sheets), or connect it directly if Glide supports Excel import.</x:t>
  </x:si>
  <x:si>
    <x:t xml:space="preserve">2. In Glide, create a new app from this sheet - the 'Skills' tab becomes your data source.</x:t>
  </x:si>
  <x:si>
    <x:t xml:space="preserve">3. Set 'Sub-skill' as the title column, and 'Pillar' as a filter/tab so coaches can browse by category (Technical, Tactical, Physical, Mental, Social).</x:t>
  </x:si>
  <x:si>
    <x:t xml:space="preserve">4. Display 'What good looks like', 'Activities', and 'Coaching cue' as detail fields on each item's screen.</x:t>
  </x:si>
  <x:si>
    <x:t xml:space="preserve">5. Add new rows here as you build out the other four pillars - Glide auto-syncs from the sheet.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</x:si>
</x:sst>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200" formatCode="mm/dd/yyyy"/>
    <x:numFmt numFmtId="201" formatCode="0.00"/>
  </x:numFmts>
  <x:fonts count="1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color rgb="FFFFFFFF"/>
      <x:name val="Arial"/>
    </x:font>
    <x:font>
      <x:sz val="11"/>
      <x:name val="Arial"/>
    </x:font>
    <x:font>
      <x:b/>
      <x:sz val="13"/>
      <x:name val="Arial"/>
    </x:font>
    <x:font>
      <x:b/>
      <x:sz val="16"/>
      <x:color rgb="FFFFFFFF"/>
      <x:name val="Calibri"/>
    </x:font>
    <x:font>
      <x:i/>
      <x:sz val="11"/>
      <x:color rgb="FF34463A"/>
      <x:name val="Calibri"/>
    </x:font>
    <x:font>
      <x:b/>
      <x:sz val="11"/>
      <x:color rgb="FFFFFFFF"/>
      <x:name val="Calibri"/>
    </x:font>
    <x:font>
      <x:b/>
      <x:sz val="10"/>
      <x:color rgb="FFFFFFFF"/>
      <x:name val="Arial"/>
    </x:font>
    <x:font>
      <x:i/>
      <x:sz val="10"/>
      <x:color rgb="FF34463A"/>
      <x:name val="Arial"/>
    </x:font>
    <x:font>
      <x:sz val="10"/>
      <x:color theme="1"/>
      <x:name val="Arial"/>
    </x:font>
    <x:font>
      <x:b/>
      <x:sz val="16"/>
      <x:color rgb="FFFFFFFF"/>
      <x:name val="Arial"/>
    </x:font>
    <x:font>
      <x:b/>
      <x:sz val="11"/>
      <x:color rgb="FF2F6B45"/>
      <x:name val="Calibri"/>
    </x:font>
    <x:font>
      <x:b/>
      <x:sz val="12"/>
      <x:color rgb="FFFFFFFF"/>
      <x:name val="Calibri"/>
    </x:font>
    <x:font>
      <x:sz val="11"/>
      <x:color rgb="FF34463A"/>
      <x:name val="Calibri"/>
    </x:font>
    <x:font>
      <x:b/>
      <x:sz val="10"/>
      <x:color rgb="FF2F6B45"/>
      <x:name val="Arial"/>
    </x:font>
    <x:font>
      <x:sz val="10"/>
      <x:color rgb="FF34463A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3C7A4E"/>
      </x:patternFill>
    </x:fill>
    <x:fill>
      <x:patternFill patternType="solid">
        <x:fgColor rgb="FF2F6B45"/>
      </x:patternFill>
    </x:fill>
    <x:fill>
      <x:patternFill patternType="solid">
        <x:fgColor rgb="FFF3F6F4"/>
      </x:patternFill>
    </x:fill>
    <x:fill>
      <x:patternFill patternType="solid">
        <x:fgColor rgb="FFF8FAF8"/>
      </x:patternFill>
    </x:fill>
    <x:fill>
      <x:patternFill patternType="solid">
        <x:fgColor rgb="FFC89B2C"/>
      </x:patternFill>
    </x:fill>
  </x:fills>
  <x:borders count="2">
    <x:border diagonalUp="0" diagonalDown="0"/>
    <x:border diagonalUp="0" diagonalDown="0"/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13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0" applyAlignment="1">
      <x:alignment horizontal="general" vertical="center" wrapText="1"/>
    </x:xf>
    <x:xf numFmtId="164" fontId="5" fillId="0" borderId="0" xfId="0" applyFont="1" applyBorder="0" applyAlignment="1">
      <x:alignment horizontal="general" vertical="top" wrapText="1"/>
    </x:xf>
    <x:xf numFmtId="164" fontId="6" fillId="0" borderId="0" xfId="0" applyFont="1" applyBorder="0" applyAlignment="1">
      <x:alignment horizontal="general" vertical="bottom" wrapText="0"/>
    </x:xf>
    <x:xf numFmtId="164" fontId="5" fillId="0" borderId="0" xfId="0" applyFont="1" applyBorder="0" applyAlignment="1">
      <x:alignment horizontal="general" vertical="bottom" wrapText="0"/>
    </x:xf>
    <x:xf numFmtId="164" fontId="0" fillId="0" borderId="1" xfId="0" applyNumberFormat="1" applyFont="1" applyFill="1" applyBorder="1" applyAlignment="1">
      <x:alignment horizontal="general" vertical="bottom" wrapText="0"/>
    </x:xf>
    <x:xf numFmtId="164" fontId="4" fillId="2" borderId="1" xfId="0" applyNumberFormat="1" applyFont="1" applyFill="1" applyBorder="1" applyAlignment="1">
      <x:alignment horizontal="general" vertical="center" wrapText="1"/>
    </x:xf>
    <x:xf numFmtId="164" fontId="5" fillId="0" borderId="1" xfId="0" applyNumberFormat="1" applyFont="1" applyFill="1" applyBorder="1" applyAlignment="1">
      <x:alignment horizontal="general" vertical="top" wrapText="1"/>
    </x:xf>
    <x:xf numFmtId="164" fontId="6" fillId="0" borderId="1" xfId="0" applyNumberFormat="1" applyFont="1" applyFill="1" applyBorder="1" applyAlignment="1">
      <x:alignment horizontal="general" vertical="bottom" wrapText="0"/>
    </x:xf>
    <x:xf numFmtId="164" fontId="5" fillId="0" borderId="1" xfId="0" applyNumberFormat="1" applyFont="1" applyFill="1" applyBorder="1" applyAlignment="1">
      <x:alignment horizontal="general" vertical="bottom" wrapText="0"/>
    </x:xf>
    <x:xf numFmtId="164" fontId="0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general" vertical="bottom" wrapText="0"/>
    </x:xf>
    <x:xf numFmtId="164" fontId="7" fillId="3" borderId="0" xfId="0" applyNumberFormat="1" applyFont="1" applyFill="1" applyBorder="1" applyAlignment="1">
      <x:alignment horizontal="center" vertical="bottom" wrapText="0"/>
    </x:xf>
    <x:xf numFmtId="164" fontId="7" fillId="3" borderId="0" xfId="0" applyNumberFormat="1" applyFont="1" applyFill="1" applyBorder="1" applyAlignment="1">
      <x:alignment horizontal="center" vertical="center" wrapText="0"/>
    </x:xf>
    <x:xf numFmtId="164" fontId="0" fillId="3" borderId="1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general" vertical="bottom" wrapText="0"/>
    </x:xf>
    <x:xf numFmtId="164" fontId="7" fillId="3" borderId="1" xfId="0" applyNumberFormat="1" applyFont="1" applyFill="1" applyBorder="1" applyAlignment="1">
      <x:alignment horizontal="center" vertical="bottom" wrapText="0"/>
    </x:xf>
    <x:xf numFmtId="164" fontId="7" fillId="3" borderId="1" xfId="0" applyNumberFormat="1" applyFont="1" applyFill="1" applyBorder="1" applyAlignment="1">
      <x:alignment horizontal="center" vertical="center" wrapText="0"/>
    </x:xf>
    <x:xf numFmtId="164" fontId="0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general" vertical="bottom" wrapText="0"/>
    </x:xf>
    <x:xf numFmtId="164" fontId="8" fillId="4" borderId="0" xfId="0" applyNumberFormat="1" applyFont="1" applyFill="1" applyBorder="1" applyAlignment="1">
      <x:alignment horizontal="general" vertical="bottom" wrapText="1"/>
    </x:xf>
    <x:xf numFmtId="164" fontId="0" fillId="4" borderId="1" xfId="0" applyNumberFormat="1" applyFont="1" applyFill="1" applyBorder="1" applyAlignment="1">
      <x:alignment horizontal="general" vertical="bottom" wrapText="0"/>
    </x:xf>
    <x:xf numFmtId="164" fontId="8" fillId="4" borderId="1" xfId="0" applyNumberFormat="1" applyFont="1" applyFill="1" applyBorder="1" applyAlignment="1">
      <x:alignment horizontal="general" vertical="bottom" wrapText="0"/>
    </x:xf>
    <x:xf numFmtId="164" fontId="8" fillId="4" borderId="1" xfId="0" applyNumberFormat="1" applyFont="1" applyFill="1" applyBorder="1" applyAlignment="1">
      <x:alignment horizontal="general" vertical="bottom" wrapText="1"/>
    </x:xf>
    <x:xf numFmtId="164" fontId="9" fillId="3" borderId="0" xfId="0" applyNumberFormat="1" applyFont="1" applyFill="1" applyBorder="1" applyAlignment="1">
      <x:alignment horizontal="general" vertical="bottom" wrapText="0"/>
    </x:xf>
    <x:xf numFmtId="164" fontId="9" fillId="3" borderId="0" xfId="0" applyNumberFormat="1" applyFont="1" applyFill="1" applyBorder="1" applyAlignment="1">
      <x:alignment horizontal="center" vertical="bottom" wrapText="0"/>
    </x:xf>
    <x:xf numFmtId="164" fontId="9" fillId="3" borderId="0" xfId="0" applyNumberFormat="1" applyFont="1" applyFill="1" applyBorder="1" applyAlignment="1">
      <x:alignment horizontal="center" vertical="center" wrapText="0"/>
    </x:xf>
    <x:xf numFmtId="164" fontId="9" fillId="3" borderId="1" xfId="0" applyNumberFormat="1" applyFont="1" applyFill="1" applyBorder="1" applyAlignment="1">
      <x:alignment horizontal="general" vertical="bottom" wrapText="0"/>
    </x:xf>
    <x:xf numFmtId="164" fontId="9" fillId="3" borderId="1" xfId="0" applyNumberFormat="1" applyFont="1" applyFill="1" applyBorder="1" applyAlignment="1">
      <x:alignment horizontal="center" vertical="bottom" wrapText="0"/>
    </x:xf>
    <x:xf numFmtId="164" fontId="9" fillId="3" borderId="1" xfId="0" applyNumberFormat="1" applyFont="1" applyFill="1" applyBorder="1" applyAlignment="1">
      <x:alignment horizontal="center" vertical="center" wrapText="0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1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center" vertical="bottom" wrapText="1"/>
    </x:xf>
    <x:xf numFmtId="164" fontId="0" fillId="0" borderId="1" xfId="0" applyNumberFormat="1" applyFont="1" applyFill="1" applyBorder="1" applyAlignment="1">
      <x:alignment horizontal="center" vertical="bottom" wrapText="1"/>
    </x:xf>
    <x:xf numFmtId="164" fontId="0" fillId="0" borderId="0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center" wrapText="1"/>
    </x:xf>
    <x:xf numFmtId="164" fontId="0" fillId="0" borderId="1" xfId="0" applyNumberFormat="1" applyFont="1" applyFill="1" applyBorder="1" applyAlignment="1">
      <x:alignment horizontal="center" vertical="center" wrapText="1"/>
    </x:xf>
    <x:xf numFmtId="164" fontId="0" fillId="0" borderId="1" xfId="0" applyNumberFormat="1" applyFont="1" applyFill="1" applyBorder="1" applyAlignment="1">
      <x:alignment horizontal="general" vertical="center" wrapText="1"/>
    </x:xf>
    <x:xf numFmtId="164" fontId="9" fillId="3" borderId="0" xfId="0" applyNumberFormat="1" applyFont="1" applyFill="1" applyBorder="1" applyAlignment="1">
      <x:alignment horizontal="general" vertical="bottom" wrapText="1"/>
    </x:xf>
    <x:xf numFmtId="164" fontId="9" fillId="3" borderId="0" xfId="0" applyNumberFormat="1" applyFont="1" applyFill="1" applyBorder="1" applyAlignment="1">
      <x:alignment horizontal="center" vertical="bottom" wrapText="1"/>
    </x:xf>
    <x:xf numFmtId="164" fontId="9" fillId="3" borderId="0" xfId="0" applyNumberFormat="1" applyFont="1" applyFill="1" applyBorder="1" applyAlignment="1">
      <x:alignment horizontal="center" vertical="center" wrapText="1"/>
    </x:xf>
    <x:xf numFmtId="164" fontId="9" fillId="3" borderId="1" xfId="0" applyNumberFormat="1" applyFont="1" applyFill="1" applyBorder="1" applyAlignment="1">
      <x:alignment horizontal="general" vertical="bottom" wrapText="1"/>
    </x:xf>
    <x:xf numFmtId="164" fontId="9" fillId="3" borderId="1" xfId="0" applyNumberFormat="1" applyFont="1" applyFill="1" applyBorder="1" applyAlignment="1">
      <x:alignment horizontal="center" vertical="bottom" wrapText="1"/>
    </x:xf>
    <x:xf numFmtId="164" fontId="9" fillId="3" borderId="1" xfId="0" applyNumberFormat="1" applyFont="1" applyFill="1" applyBorder="1" applyAlignment="1">
      <x:alignment horizontal="center" vertical="center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0" fillId="0" borderId="1" xfId="0" applyNumberFormat="1" applyFont="1" applyFill="1" applyBorder="1" applyAlignment="1">
      <x:alignment horizontal="general" vertical="top" wrapText="1"/>
    </x:xf>
    <x:xf numFmtId="164" fontId="10" fillId="3" borderId="0" xfId="0" applyNumberFormat="1" applyFont="1" applyFill="1" applyBorder="1" applyAlignment="1">
      <x:alignment horizontal="center" vertical="center" wrapText="0"/>
    </x:xf>
    <x:xf numFmtId="164" fontId="11" fillId="4" borderId="0" xfId="0" applyNumberFormat="1" applyFont="1" applyFill="1" applyBorder="1" applyAlignment="1">
      <x:alignment horizontal="general" vertical="bottom" wrapText="1"/>
    </x:xf>
    <x:xf numFmtId="164" fontId="12" fillId="0" borderId="0" xfId="0" applyNumberFormat="1" applyFont="1" applyFill="1" applyBorder="1" applyAlignment="1">
      <x:alignment horizontal="general" vertical="bottom" wrapText="0"/>
    </x:xf>
    <x:xf numFmtId="164" fontId="10" fillId="3" borderId="0" xfId="0" applyNumberFormat="1" applyFont="1" applyFill="1" applyBorder="1" applyAlignment="1">
      <x:alignment horizontal="center" vertical="bottom" wrapText="0"/>
    </x:xf>
    <x:xf numFmtId="164" fontId="12" fillId="0" borderId="0" xfId="0" applyNumberFormat="1" applyFont="1" applyFill="1" applyBorder="1" applyAlignment="1">
      <x:alignment horizontal="center" vertical="center" wrapText="1"/>
    </x:xf>
    <x:xf numFmtId="164" fontId="12" fillId="0" borderId="0" xfId="0" applyNumberFormat="1" applyFont="1" applyFill="1" applyBorder="1" applyAlignment="1">
      <x:alignment horizontal="general" vertical="center" wrapText="1"/>
    </x:xf>
    <x:xf numFmtId="164" fontId="12" fillId="0" borderId="0" xfId="0" applyNumberFormat="1" applyFont="1" applyFill="1" applyBorder="1" applyAlignment="1">
      <x:alignment horizontal="general" vertical="bottom" wrapText="1"/>
    </x:xf>
    <x:xf numFmtId="164" fontId="10" fillId="3" borderId="0" xfId="0" applyNumberFormat="1" applyFont="1" applyFill="1" applyBorder="1" applyAlignment="1">
      <x:alignment horizontal="center" vertical="center" wrapText="1"/>
    </x:xf>
    <x:xf numFmtId="164" fontId="12" fillId="0" borderId="0" xfId="0" applyNumberFormat="1" applyFont="1" applyFill="1" applyBorder="1" applyAlignment="1">
      <x:alignment horizontal="general" vertical="top" wrapText="1"/>
    </x:xf>
    <x:xf numFmtId="164" fontId="10" fillId="3" borderId="1" xfId="0" applyNumberFormat="1" applyFont="1" applyFill="1" applyBorder="1" applyAlignment="1">
      <x:alignment horizontal="center" vertical="center" wrapText="0"/>
    </x:xf>
    <x:xf numFmtId="164" fontId="11" fillId="4" borderId="1" xfId="0" applyNumberFormat="1" applyFont="1" applyFill="1" applyBorder="1" applyAlignment="1">
      <x:alignment horizontal="general" vertical="bottom" wrapText="1"/>
    </x:xf>
    <x:xf numFmtId="164" fontId="12" fillId="0" borderId="1" xfId="0" applyNumberFormat="1" applyFont="1" applyFill="1" applyBorder="1" applyAlignment="1">
      <x:alignment horizontal="general" vertical="bottom" wrapText="0"/>
    </x:xf>
    <x:xf numFmtId="164" fontId="10" fillId="3" borderId="1" xfId="0" applyNumberFormat="1" applyFont="1" applyFill="1" applyBorder="1" applyAlignment="1">
      <x:alignment horizontal="center" vertical="bottom" wrapText="0"/>
    </x:xf>
    <x:xf numFmtId="164" fontId="12" fillId="0" borderId="1" xfId="0" applyNumberFormat="1" applyFont="1" applyFill="1" applyBorder="1" applyAlignment="1">
      <x:alignment horizontal="center" vertical="center" wrapText="1"/>
    </x:xf>
    <x:xf numFmtId="164" fontId="12" fillId="0" borderId="1" xfId="0" applyNumberFormat="1" applyFont="1" applyFill="1" applyBorder="1" applyAlignment="1">
      <x:alignment horizontal="general" vertical="center" wrapText="1"/>
    </x:xf>
    <x:xf numFmtId="164" fontId="12" fillId="0" borderId="1" xfId="0" applyNumberFormat="1" applyFont="1" applyFill="1" applyBorder="1" applyAlignment="1">
      <x:alignment horizontal="general" vertical="bottom" wrapText="1"/>
    </x:xf>
    <x:xf numFmtId="164" fontId="10" fillId="3" borderId="1" xfId="0" applyNumberFormat="1" applyFont="1" applyFill="1" applyBorder="1" applyAlignment="1">
      <x:alignment horizontal="center" vertical="center" wrapText="1"/>
    </x:xf>
    <x:xf numFmtId="164" fontId="12" fillId="0" borderId="1" xfId="0" applyNumberFormat="1" applyFont="1" applyFill="1" applyBorder="1" applyAlignment="1">
      <x:alignment horizontal="general" vertical="top" wrapText="1"/>
    </x:xf>
    <x:xf numFmtId="164" fontId="13" fillId="3" borderId="0" xfId="0" applyNumberFormat="1" applyFont="1" applyFill="1" applyBorder="1" applyAlignment="1">
      <x:alignment horizontal="center" vertical="center" wrapText="0"/>
    </x:xf>
    <x:xf numFmtId="164" fontId="13" fillId="3" borderId="1" xfId="0" applyNumberFormat="1" applyFont="1" applyFill="1" applyBorder="1" applyAlignment="1">
      <x:alignment horizontal="center" vertical="center" wrapText="0"/>
    </x:xf>
    <x:xf numFmtId="164" fontId="14" fillId="0" borderId="0" xfId="0" applyNumberFormat="1" applyFont="1" applyFill="1" applyBorder="1" applyAlignment="1">
      <x:alignment horizontal="general" vertical="bottom" wrapText="0"/>
    </x:xf>
    <x:xf numFmtId="164" fontId="14" fillId="0" borderId="1" xfId="0" applyNumberFormat="1" applyFont="1" applyFill="1" applyBorder="1" applyAlignment="1">
      <x:alignment horizontal="general" vertical="bottom" wrapText="0"/>
    </x:xf>
    <x:xf numFmtId="164" fontId="0" fillId="5" borderId="0" xfId="0" applyNumberFormat="1" applyFont="1" applyFill="1" applyBorder="1" applyAlignment="1">
      <x:alignment horizontal="general" vertical="bottom" wrapText="0"/>
    </x:xf>
    <x:xf numFmtId="164" fontId="0" fillId="5" borderId="1" xfId="0" applyNumberFormat="1" applyFont="1" applyFill="1" applyBorder="1" applyAlignment="1">
      <x:alignment horizontal="general" vertical="bottom" wrapText="0"/>
    </x:xf>
    <x:xf numFmtId="200" fontId="0" fillId="5" borderId="0" xfId="0" applyNumberFormat="1" applyFont="1" applyFill="1" applyBorder="1" applyAlignment="1">
      <x:alignment horizontal="general" vertical="bottom" wrapText="0"/>
    </x:xf>
    <x:xf numFmtId="200" fontId="0" fillId="5" borderId="1" xfId="0" applyNumberFormat="1" applyFont="1" applyFill="1" applyBorder="1" applyAlignment="1">
      <x:alignment horizontal="general" vertical="bottom" wrapText="0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general" vertical="bottom" wrapText="0"/>
    </x:xf>
    <x:xf numFmtId="164" fontId="15" fillId="6" borderId="0" xfId="0" applyNumberFormat="1" applyFont="1" applyFill="1" applyBorder="1" applyAlignment="1">
      <x:alignment horizontal="center" vertical="bottom" wrapText="0"/>
    </x:xf>
    <x:xf numFmtId="164" fontId="0" fillId="6" borderId="1" xfId="0" applyNumberFormat="1" applyFont="1" applyFill="1" applyBorder="1" applyAlignment="1">
      <x:alignment horizontal="general" vertical="bottom" wrapText="0"/>
    </x:xf>
    <x:xf numFmtId="164" fontId="15" fillId="6" borderId="1" xfId="0" applyNumberFormat="1" applyFont="1" applyFill="1" applyBorder="1" applyAlignment="1">
      <x:alignment horizontal="general" vertical="bottom" wrapText="0"/>
    </x:xf>
    <x:xf numFmtId="164" fontId="15" fillId="6" borderId="1" xfId="0" applyNumberFormat="1" applyFont="1" applyFill="1" applyBorder="1" applyAlignment="1">
      <x:alignment horizontal="center" vertical="bottom" wrapText="0"/>
    </x:xf>
    <x:xf numFmtId="201" fontId="0" fillId="0" borderId="0" xfId="0" applyNumberFormat="1" applyFont="1" applyFill="1" applyBorder="1" applyAlignment="1">
      <x:alignment horizontal="general" vertical="bottom" wrapText="0"/>
    </x:xf>
    <x:xf numFmtId="201" fontId="0" fillId="0" borderId="1" xfId="0" applyNumberFormat="1" applyFont="1" applyFill="1" applyBorder="1" applyAlignment="1">
      <x:alignment horizontal="general" vertical="bottom" wrapText="0"/>
    </x:xf>
    <x:xf numFmtId="164" fontId="16" fillId="4" borderId="0" xfId="0" applyNumberFormat="1" applyFont="1" applyFill="1" applyBorder="1" applyAlignment="1">
      <x:alignment horizontal="general" vertical="bottom" wrapText="0"/>
    </x:xf>
    <x:xf numFmtId="164" fontId="16" fillId="4" borderId="0" xfId="0" applyNumberFormat="1" applyFont="1" applyFill="1" applyBorder="1" applyAlignment="1">
      <x:alignment horizontal="general" vertical="bottom" wrapText="1"/>
    </x:xf>
    <x:xf numFmtId="164" fontId="16" fillId="4" borderId="0" xfId="0" applyNumberFormat="1" applyFont="1" applyFill="1" applyBorder="1" applyAlignment="1">
      <x:alignment horizontal="general" vertical="top" wrapText="1"/>
    </x:xf>
    <x:xf numFmtId="164" fontId="16" fillId="4" borderId="1" xfId="0" applyNumberFormat="1" applyFont="1" applyFill="1" applyBorder="1" applyAlignment="1">
      <x:alignment horizontal="general" vertical="bottom" wrapText="0"/>
    </x:xf>
    <x:xf numFmtId="164" fontId="16" fillId="4" borderId="1" xfId="0" applyNumberFormat="1" applyFont="1" applyFill="1" applyBorder="1" applyAlignment="1">
      <x:alignment horizontal="general" vertical="bottom" wrapText="1"/>
    </x:xf>
    <x:xf numFmtId="164" fontId="16" fillId="4" borderId="1" xfId="0" applyNumberFormat="1" applyFont="1" applyFill="1" applyBorder="1" applyAlignment="1">
      <x:alignment horizontal="general" vertical="top" wrapText="1"/>
    </x:xf>
    <x:xf numFmtId="164" fontId="10" fillId="6" borderId="0" xfId="0" applyNumberFormat="1" applyFont="1" applyFill="1" applyBorder="1" applyAlignment="1">
      <x:alignment horizontal="center" vertical="bottom" wrapText="0"/>
    </x:xf>
    <x:xf numFmtId="164" fontId="17" fillId="0" borderId="0" xfId="0" applyNumberFormat="1" applyFont="1" applyFill="1" applyBorder="1" applyAlignment="1">
      <x:alignment horizontal="general" vertical="bottom" wrapText="0"/>
    </x:xf>
    <x:xf numFmtId="164" fontId="12" fillId="5" borderId="0" xfId="0" applyNumberFormat="1" applyFont="1" applyFill="1" applyBorder="1" applyAlignment="1">
      <x:alignment horizontal="general" vertical="bottom" wrapText="0"/>
    </x:xf>
    <x:xf numFmtId="200" fontId="12" fillId="5" borderId="0" xfId="0" applyNumberFormat="1" applyFont="1" applyFill="1" applyBorder="1" applyAlignment="1">
      <x:alignment horizontal="general" vertical="bottom" wrapText="0"/>
    </x:xf>
    <x:xf numFmtId="201" fontId="12" fillId="0" borderId="0" xfId="0" applyNumberFormat="1" applyFont="1" applyFill="1" applyBorder="1" applyAlignment="1">
      <x:alignment horizontal="general" vertical="bottom" wrapText="0"/>
    </x:xf>
    <x:xf numFmtId="164" fontId="18" fillId="4" borderId="0" xfId="0" applyNumberFormat="1" applyFont="1" applyFill="1" applyBorder="1" applyAlignment="1">
      <x:alignment horizontal="general" vertical="top" wrapText="1"/>
    </x:xf>
    <x:xf numFmtId="164" fontId="10" fillId="6" borderId="1" xfId="0" applyNumberFormat="1" applyFont="1" applyFill="1" applyBorder="1" applyAlignment="1">
      <x:alignment horizontal="center" vertical="bottom" wrapText="0"/>
    </x:xf>
    <x:xf numFmtId="164" fontId="17" fillId="0" borderId="1" xfId="0" applyNumberFormat="1" applyFont="1" applyFill="1" applyBorder="1" applyAlignment="1">
      <x:alignment horizontal="general" vertical="bottom" wrapText="0"/>
    </x:xf>
    <x:xf numFmtId="164" fontId="12" fillId="5" borderId="1" xfId="0" applyNumberFormat="1" applyFont="1" applyFill="1" applyBorder="1" applyAlignment="1">
      <x:alignment horizontal="general" vertical="bottom" wrapText="0"/>
    </x:xf>
    <x:xf numFmtId="200" fontId="12" fillId="5" borderId="1" xfId="0" applyNumberFormat="1" applyFont="1" applyFill="1" applyBorder="1" applyAlignment="1">
      <x:alignment horizontal="general" vertical="bottom" wrapText="0"/>
    </x:xf>
    <x:xf numFmtId="201" fontId="12" fillId="0" borderId="1" xfId="0" applyNumberFormat="1" applyFont="1" applyFill="1" applyBorder="1" applyAlignment="1">
      <x:alignment horizontal="general" vertical="bottom" wrapText="0"/>
    </x:xf>
    <x:xf numFmtId="164" fontId="18" fillId="4" borderId="1" xfId="0" applyNumberFormat="1" applyFont="1" applyFill="1" applyBorder="1" applyAlignment="1">
      <x:alignment horizontal="general" vertical="top" wrapText="1"/>
    </x:xf>
    <x:xf numFmtId="164" fontId="12" fillId="0" borderId="0" xfId="0" applyNumberFormat="1" applyFont="1" applyFill="1" applyBorder="1" applyAlignment="1">
      <x:alignment horizontal="general" vertical="top" wrapText="0"/>
    </x:xf>
    <x:xf numFmtId="164" fontId="12" fillId="0" borderId="1" xfId="0" applyNumberFormat="1" applyFont="1" applyFill="1" applyBorder="1" applyAlignment="1">
      <x:alignment horizontal="general" vertical="top" wrapText="0"/>
    </x:xf>
    <x:xf numFmtId="164" fontId="12" fillId="0" borderId="0" xfId="0" applyNumberFormat="1" applyFont="1" applyFill="1" applyBorder="1" applyAlignment="1">
      <x:alignment horizontal="center" vertical="top" wrapText="0"/>
    </x:xf>
    <x:xf numFmtId="164" fontId="12" fillId="0" borderId="1" xfId="0" applyNumberFormat="1" applyFont="1" applyFill="1" applyBorder="1" applyAlignment="1">
      <x:alignment horizontal="center" vertical="top" wrapText="0"/>
    </x:xf>
    <x:xf numFmtId="164" fontId="12" fillId="0" borderId="0" xfId="0" applyNumberFormat="1" applyFont="1" applyFill="1" applyBorder="1" applyAlignment="1">
      <x:alignment horizontal="center" vertical="top" wrapText="1"/>
    </x:xf>
    <x:xf numFmtId="164" fontId="12" fillId="0" borderId="1" xfId="0" applyNumberFormat="1" applyFont="1" applyFill="1" applyBorder="1" applyAlignment="1">
      <x:alignment horizontal="center" vertical="top" wrapText="1"/>
    </x:xf>
    <x:xf numFmtId="164" fontId="6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4" fillId="2" borderId="0" xfId="0" applyNumberFormat="1" applyFont="1" applyFill="1" applyBorder="1" applyAlignment="1">
      <x:alignment horizontal="general" vertical="center" wrapText="1"/>
    </x:xf>
    <x:xf numFmtId="164" fontId="5" fillId="0" borderId="0" xfId="0" applyNumberFormat="1" applyFont="1" applyFill="1" applyBorder="1" applyAlignment="1">
      <x:alignment horizontal="general" vertical="top" wrapText="1"/>
    </x:xf>
    <x:xf numFmtId="164" fontId="6" fillId="0" borderId="0" xfId="0" applyNumberFormat="1" applyFont="1" applyFill="1" applyBorder="1" applyAlignment="1">
      <x:alignment horizontal="general" vertical="bottom" wrapText="0"/>
    </x:xf>
    <x:xf numFmtId="164" fontId="5" fillId="0" borderId="0" xfId="0" applyNumberFormat="1" applyFont="1" applyFill="1" applyBorder="1" applyAlignment="1">
      <x:alignment horizontal="general" vertical="bottom" wrapText="0"/>
    </x:xf>
    <x:xf numFmtId="164" fontId="12" fillId="0" xfId="0" applyNumberFormat="1" applyFont="1" applyFill="1" applyBorder="0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dxfs count="7">
    <x:dxf>
      <x:font>
        <x:b/>
        <x:color rgb="FF8A3B12"/>
      </x:font>
      <x:fill>
        <x:patternFill>
          <x:bgColor rgb="FFFDE7D9"/>
        </x:patternFill>
      </x:fill>
    </x:dxf>
    <x:dxf>
      <x:font>
        <x:b/>
        <x:color rgb="FF725A00"/>
      </x:font>
      <x:fill>
        <x:patternFill>
          <x:bgColor rgb="FFFFF3CD"/>
        </x:patternFill>
      </x:fill>
    </x:dxf>
    <x:dxf>
      <x:font>
        <x:b/>
        <x:color rgb="FF245336"/>
      </x:font>
      <x:fill>
        <x:patternFill>
          <x:bgColor rgb="FFE2F0E6"/>
        </x:patternFill>
      </x:fill>
    </x:dxf>
    <x:dxf>
      <x:font>
        <x:b/>
        <x:color rgb="FF163D25"/>
      </x:font>
      <x:fill>
        <x:patternFill>
          <x:bgColor rgb="FFBFDCC8"/>
        </x:patternFill>
      </x:fill>
    </x:dxf>
    <x:dxf>
      <x:font>
        <x:b/>
        <x:color rgb="FF8A3B12"/>
      </x:font>
      <x:fill>
        <x:patternFill>
          <x:bgColor rgb="FFFDE7D9"/>
        </x:patternFill>
      </x:fill>
    </x:dxf>
    <x:dxf>
      <x:font>
        <x:b/>
        <x:color rgb="FF725A00"/>
      </x:font>
      <x:fill>
        <x:patternFill>
          <x:bgColor rgb="FFFFF3CD"/>
        </x:patternFill>
      </x:fill>
    </x:dxf>
    <x:dxf>
      <x:font>
        <x:b/>
        <x:color rgb="FF245336"/>
      </x:font>
      <x:fill>
        <x:patternFill>
          <x:bgColor rgb="FFE2F0E6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C7A4E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03edc7322b40d4" /><Relationship Type="http://schemas.openxmlformats.org/officeDocument/2006/relationships/theme" Target="/xl/theme/theme1.xml" Id="R9a1d6f6578ce420a" /><Relationship Type="http://schemas.openxmlformats.org/officeDocument/2006/relationships/sharedStrings" Target="/xl/sharedStrings.xml" Id="Rbfa13468ae024e1a" /><Relationship Type="http://schemas.openxmlformats.org/officeDocument/2006/relationships/worksheet" Target="/xl/worksheets/sheet1.xml" Id="Rf09e6853616f4537" /><Relationship Type="http://schemas.openxmlformats.org/officeDocument/2006/relationships/worksheet" Target="/xl/worksheets/sheet2.xml" Id="Rbc523fcd444a4b0a" /><Relationship Type="http://schemas.openxmlformats.org/officeDocument/2006/relationships/worksheet" Target="/xl/worksheets/sheet3.xml" Id="Rdbd0e08c1fd84b72" /><Relationship Type="http://schemas.openxmlformats.org/officeDocument/2006/relationships/worksheet" Target="/xl/worksheets/sheet4.xml" Id="Rf652b786089e4e7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7b232449dfb47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Pillar Profile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Average</c:v>
          </c:tx>
          <c:cat>
            <c:strRef>
              <c:f>'Player Assessment'!$J$9:$J$13</c:f>
              <c:strCache>
                <c:ptCount val="0"/>
              </c:strCache>
            </c:strRef>
          </c:cat>
          <c:val>
            <c:numRef>
              <c:f>'Player Assessment'!$K$9:$K$13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19</xdr:row>
      <xdr:rowOff>0</xdr:rowOff>
    </xdr:from>
    <xdr:to>
      <xdr:col>17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7b232449dfb47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801bd1d861843b9" /></Relationships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2" style="1" hidden="0" customWidth="1"/>
    <x:col min="2" max="2" width="14" style="1" hidden="0" customWidth="1"/>
    <x:col min="3" max="3" width="12" style="1" hidden="0" customWidth="1"/>
    <x:col min="4" max="4" width="42" style="1" hidden="0" customWidth="1"/>
    <x:col min="5" max="5" width="46" style="1" hidden="0" customWidth="1"/>
    <x:col min="6" max="6" width="34" style="1" hidden="0" customWidth="1"/>
    <x:col min="7" max="7" width="50" style="1" hidden="0" customWidth="1"/>
  </x:cols>
  <x:sheetData>
    <x:row r="1" ht="30" hidden="0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ht="90" hidden="0" customHeight="1">
      <x:c r="A2" s="3" t="s">
        <x:v>7</x:v>
      </x:c>
      <x:c r="B2" s="3" t="s">
        <x:v>8</x:v>
      </x:c>
      <x:c r="C2" s="3" t="s">
        <x:v>9</x:v>
      </x:c>
      <x:c r="D2" s="3" t="s">
        <x:v>10</x:v>
      </x:c>
      <x:c r="E2" s="3" t="s">
        <x:v>11</x:v>
      </x:c>
      <x:c r="F2" s="3" t="s">
        <x:v>12</x:v>
      </x:c>
      <x:c r="G2" s="3" t="s">
        <x:v>13</x:v>
      </x:c>
    </x:row>
    <x:row r="3" ht="90" hidden="0" customHeight="1">
      <x:c r="A3" s="3" t="s">
        <x:v>7</x:v>
      </x:c>
      <x:c r="B3" s="3" t="s">
        <x:v>14</x:v>
      </x:c>
      <x:c r="C3" s="3" t="s">
        <x:v>15</x:v>
      </x:c>
      <x:c r="D3" s="3" t="s">
        <x:v>16</x:v>
      </x:c>
      <x:c r="E3" s="3" t="s">
        <x:v>17</x:v>
      </x:c>
      <x:c r="F3" s="3" t="s">
        <x:v>18</x:v>
      </x:c>
      <x:c r="G3" s="3" t="s">
        <x:v>19</x:v>
      </x:c>
    </x:row>
    <x:row r="4" ht="90" hidden="0" customHeight="1">
      <x:c r="A4" s="3" t="s">
        <x:v>7</x:v>
      </x:c>
      <x:c r="B4" s="3" t="s">
        <x:v>20</x:v>
      </x:c>
      <x:c r="C4" s="3" t="s">
        <x:v>21</x:v>
      </x:c>
      <x:c r="D4" s="3" t="s">
        <x:v>22</x:v>
      </x:c>
      <x:c r="E4" s="3" t="s">
        <x:v>23</x:v>
      </x:c>
      <x:c r="F4" s="3" t="s">
        <x:v>24</x:v>
      </x:c>
      <x:c r="G4" s="3" t="s">
        <x:v>25</x:v>
      </x:c>
    </x:row>
    <x:row r="5" ht="90" hidden="0" customHeight="1">
      <x:c r="A5" s="3" t="s">
        <x:v>7</x:v>
      </x:c>
      <x:c r="B5" s="3" t="s">
        <x:v>26</x:v>
      </x:c>
      <x:c r="C5" s="3" t="s">
        <x:v>27</x:v>
      </x:c>
      <x:c r="D5" s="3" t="s">
        <x:v>28</x:v>
      </x:c>
      <x:c r="E5" s="3" t="s">
        <x:v>29</x:v>
      </x:c>
      <x:c r="F5" s="3" t="s">
        <x:v>30</x:v>
      </x:c>
      <x:c r="G5" s="3" t="s">
        <x:v>31</x:v>
      </x:c>
    </x:row>
    <x:row r="6" ht="90" hidden="0" customHeight="1">
      <x:c r="A6" s="3" t="s">
        <x:v>7</x:v>
      </x:c>
      <x:c r="B6" s="3" t="s">
        <x:v>32</x:v>
      </x:c>
      <x:c r="C6" s="3" t="s">
        <x:v>33</x:v>
      </x:c>
      <x:c r="D6" s="3" t="s">
        <x:v>34</x:v>
      </x:c>
      <x:c r="E6" s="3" t="s">
        <x:v>35</x:v>
      </x:c>
      <x:c r="F6" s="3" t="s">
        <x:v>36</x:v>
      </x:c>
      <x:c r="G6" s="3" t="s">
        <x:v>37</x:v>
      </x:c>
    </x:row>
    <x:row r="7" ht="90" hidden="0" customHeight="1">
      <x:c r="A7" s="3" t="s">
        <x:v>38</x:v>
      </x:c>
      <x:c r="B7" s="3" t="s">
        <x:v>39</x:v>
      </x:c>
      <x:c r="C7" s="3" t="s">
        <x:v>40</x:v>
      </x:c>
      <x:c r="D7" s="3" t="s">
        <x:v>41</x:v>
      </x:c>
      <x:c r="E7" s="3" t="s">
        <x:v>42</x:v>
      </x:c>
      <x:c r="F7" s="3" t="s">
        <x:v>43</x:v>
      </x:c>
      <x:c r="G7" s="3" t="s">
        <x:v>44</x:v>
      </x:c>
    </x:row>
    <x:row r="8" ht="90" hidden="0" customHeight="1">
      <x:c r="A8" s="3" t="s">
        <x:v>38</x:v>
      </x:c>
      <x:c r="B8" s="3" t="s">
        <x:v>45</x:v>
      </x:c>
      <x:c r="C8" s="3" t="s">
        <x:v>46</x:v>
      </x:c>
      <x:c r="D8" s="3" t="s">
        <x:v>47</x:v>
      </x:c>
      <x:c r="E8" s="3" t="s">
        <x:v>48</x:v>
      </x:c>
      <x:c r="F8" s="3" t="s">
        <x:v>49</x:v>
      </x:c>
      <x:c r="G8" s="3" t="s">
        <x:v>50</x:v>
      </x:c>
    </x:row>
    <x:row r="9" ht="90" hidden="0" customHeight="1">
      <x:c r="A9" s="3" t="s">
        <x:v>38</x:v>
      </x:c>
      <x:c r="B9" s="3" t="s">
        <x:v>51</x:v>
      </x:c>
      <x:c r="C9" s="3" t="s">
        <x:v>52</x:v>
      </x:c>
      <x:c r="D9" s="3" t="s">
        <x:v>53</x:v>
      </x:c>
      <x:c r="E9" s="3" t="s">
        <x:v>54</x:v>
      </x:c>
      <x:c r="F9" s="3" t="s">
        <x:v>55</x:v>
      </x:c>
      <x:c r="G9" s="3" t="s">
        <x:v>56</x:v>
      </x:c>
    </x:row>
    <x:row r="10" ht="90" hidden="0" customHeight="1">
      <x:c r="A10" s="3" t="s">
        <x:v>38</x:v>
      </x:c>
      <x:c r="B10" s="3" t="s">
        <x:v>57</x:v>
      </x:c>
      <x:c r="C10" s="3" t="s">
        <x:v>58</x:v>
      </x:c>
      <x:c r="D10" s="3" t="s">
        <x:v>59</x:v>
      </x:c>
      <x:c r="E10" s="3" t="s">
        <x:v>60</x:v>
      </x:c>
      <x:c r="F10" s="3" t="s">
        <x:v>61</x:v>
      </x:c>
      <x:c r="G10" s="3" t="s">
        <x:v>62</x:v>
      </x:c>
    </x:row>
    <x:row r="11" ht="90" hidden="0" customHeight="1">
      <x:c r="A11" s="3" t="s">
        <x:v>38</x:v>
      </x:c>
      <x:c r="B11" s="3" t="s">
        <x:v>63</x:v>
      </x:c>
      <x:c r="C11" s="3" t="s">
        <x:v>64</x:v>
      </x:c>
      <x:c r="D11" s="3" t="s">
        <x:v>65</x:v>
      </x:c>
      <x:c r="E11" s="3" t="s">
        <x:v>66</x:v>
      </x:c>
      <x:c r="F11" s="3" t="s">
        <x:v>67</x:v>
      </x:c>
      <x:c r="G11" s="3" t="s">
        <x:v>68</x:v>
      </x:c>
    </x:row>
    <x:row r="12" ht="90" hidden="0" customHeight="1">
      <x:c r="A12" s="3" t="s">
        <x:v>69</x:v>
      </x:c>
      <x:c r="B12" s="3" t="s">
        <x:v>70</x:v>
      </x:c>
      <x:c r="C12" s="3" t="s">
        <x:v>71</x:v>
      </x:c>
      <x:c r="D12" s="3" t="s">
        <x:v>72</x:v>
      </x:c>
      <x:c r="E12" s="3" t="s">
        <x:v>73</x:v>
      </x:c>
      <x:c r="F12" s="3" t="s">
        <x:v>74</x:v>
      </x:c>
      <x:c r="G12" s="3" t="s">
        <x:v>75</x:v>
      </x:c>
    </x:row>
    <x:row r="13" ht="90" hidden="0" customHeight="1">
      <x:c r="A13" s="3" t="s">
        <x:v>69</x:v>
      </x:c>
      <x:c r="B13" s="3" t="s">
        <x:v>76</x:v>
      </x:c>
      <x:c r="C13" s="3" t="s">
        <x:v>77</x:v>
      </x:c>
      <x:c r="D13" s="3" t="s">
        <x:v>78</x:v>
      </x:c>
      <x:c r="E13" s="3" t="s">
        <x:v>79</x:v>
      </x:c>
      <x:c r="F13" s="3" t="s">
        <x:v>80</x:v>
      </x:c>
      <x:c r="G13" s="3" t="s">
        <x:v>81</x:v>
      </x:c>
    </x:row>
    <x:row r="14" ht="90" hidden="0" customHeight="1">
      <x:c r="A14" s="3" t="s">
        <x:v>69</x:v>
      </x:c>
      <x:c r="B14" s="3" t="s">
        <x:v>82</x:v>
      </x:c>
      <x:c r="C14" s="3" t="s">
        <x:v>83</x:v>
      </x:c>
      <x:c r="D14" s="3" t="s">
        <x:v>84</x:v>
      </x:c>
      <x:c r="E14" s="3" t="s">
        <x:v>85</x:v>
      </x:c>
      <x:c r="F14" s="3" t="s">
        <x:v>86</x:v>
      </x:c>
      <x:c r="G14" s="3" t="s">
        <x:v>87</x:v>
      </x:c>
    </x:row>
    <x:row r="15" ht="90" hidden="0" customHeight="1">
      <x:c r="A15" s="3" t="s">
        <x:v>69</x:v>
      </x:c>
      <x:c r="B15" s="3" t="s">
        <x:v>88</x:v>
      </x:c>
      <x:c r="C15" s="3" t="s">
        <x:v>89</x:v>
      </x:c>
      <x:c r="D15" s="3" t="s">
        <x:v>90</x:v>
      </x:c>
      <x:c r="E15" s="3" t="s">
        <x:v>91</x:v>
      </x:c>
      <x:c r="F15" s="3" t="s">
        <x:v>92</x:v>
      </x:c>
      <x:c r="G15" s="3" t="s">
        <x:v>93</x:v>
      </x:c>
    </x:row>
    <x:row r="16" ht="90" hidden="0" customHeight="1">
      <x:c r="A16" s="3" t="s">
        <x:v>69</x:v>
      </x:c>
      <x:c r="B16" s="3" t="s">
        <x:v>94</x:v>
      </x:c>
      <x:c r="C16" s="3" t="s">
        <x:v>95</x:v>
      </x:c>
      <x:c r="D16" s="3" t="s">
        <x:v>96</x:v>
      </x:c>
      <x:c r="E16" s="3" t="s">
        <x:v>97</x:v>
      </x:c>
      <x:c r="F16" s="3" t="s">
        <x:v>98</x:v>
      </x:c>
      <x:c r="G16" s="3" t="s">
        <x:v>99</x:v>
      </x:c>
    </x:row>
    <x:row r="17" ht="90" hidden="0" customHeight="1">
      <x:c r="A17" s="3" t="s">
        <x:v>100</x:v>
      </x:c>
      <x:c r="B17" s="3" t="s">
        <x:v>101</x:v>
      </x:c>
      <x:c r="C17" s="3" t="s">
        <x:v>102</x:v>
      </x:c>
      <x:c r="D17" s="3" t="s">
        <x:v>103</x:v>
      </x:c>
      <x:c r="E17" s="3" t="s">
        <x:v>104</x:v>
      </x:c>
      <x:c r="F17" s="3" t="s">
        <x:v>105</x:v>
      </x:c>
      <x:c r="G17" s="3" t="s">
        <x:v>106</x:v>
      </x:c>
    </x:row>
    <x:row r="18" ht="90" hidden="0" customHeight="1">
      <x:c r="A18" s="3" t="s">
        <x:v>100</x:v>
      </x:c>
      <x:c r="B18" s="3" t="s">
        <x:v>107</x:v>
      </x:c>
      <x:c r="C18" s="3" t="s">
        <x:v>108</x:v>
      </x:c>
      <x:c r="D18" s="3" t="s">
        <x:v>109</x:v>
      </x:c>
      <x:c r="E18" s="3" t="s">
        <x:v>110</x:v>
      </x:c>
      <x:c r="F18" s="3" t="s">
        <x:v>111</x:v>
      </x:c>
      <x:c r="G18" s="3" t="s">
        <x:v>112</x:v>
      </x:c>
    </x:row>
    <x:row r="19" ht="90" hidden="0" customHeight="1">
      <x:c r="A19" s="3" t="s">
        <x:v>100</x:v>
      </x:c>
      <x:c r="B19" s="3" t="s">
        <x:v>113</x:v>
      </x:c>
      <x:c r="C19" s="3" t="s">
        <x:v>114</x:v>
      </x:c>
      <x:c r="D19" s="3" t="s">
        <x:v>115</x:v>
      </x:c>
      <x:c r="E19" s="3" t="s">
        <x:v>116</x:v>
      </x:c>
      <x:c r="F19" s="3" t="s">
        <x:v>117</x:v>
      </x:c>
      <x:c r="G19" s="3" t="s">
        <x:v>118</x:v>
      </x:c>
    </x:row>
    <x:row r="20" ht="90" hidden="0" customHeight="1">
      <x:c r="A20" s="3" t="s">
        <x:v>119</x:v>
      </x:c>
      <x:c r="B20" s="3" t="s">
        <x:v>120</x:v>
      </x:c>
      <x:c r="C20" s="3" t="s">
        <x:v>121</x:v>
      </x:c>
      <x:c r="D20" s="3" t="s">
        <x:v>122</x:v>
      </x:c>
      <x:c r="E20" s="3" t="s">
        <x:v>123</x:v>
      </x:c>
      <x:c r="F20" s="3" t="s">
        <x:v>124</x:v>
      </x:c>
      <x:c r="G20" s="3" t="s">
        <x:v>125</x:v>
      </x:c>
    </x:row>
    <x:row r="21" ht="90" hidden="0" customHeight="1">
      <x:c r="A21" s="3" t="s">
        <x:v>119</x:v>
      </x:c>
      <x:c r="B21" s="3" t="s">
        <x:v>126</x:v>
      </x:c>
      <x:c r="C21" s="3" t="s">
        <x:v>127</x:v>
      </x:c>
      <x:c r="D21" s="3" t="s">
        <x:v>128</x:v>
      </x:c>
      <x:c r="E21" s="3" t="s">
        <x:v>129</x:v>
      </x:c>
      <x:c r="F21" s="3" t="s">
        <x:v>130</x:v>
      </x:c>
      <x:c r="G21" s="3" t="s">
        <x:v>131</x:v>
      </x:c>
    </x:row>
    <x:row r="22" ht="90" hidden="0" customHeight="1">
      <x:c r="A22" s="3" t="s">
        <x:v>119</x:v>
      </x:c>
      <x:c r="B22" s="3" t="s">
        <x:v>132</x:v>
      </x:c>
      <x:c r="C22" s="3" t="s">
        <x:v>133</x:v>
      </x:c>
      <x:c r="D22" s="3" t="s">
        <x:v>134</x:v>
      </x:c>
      <x:c r="E22" s="3" t="s">
        <x:v>135</x:v>
      </x:c>
      <x:c r="F22" s="3" t="s">
        <x:v>136</x:v>
      </x:c>
      <x:c r="G22" s="3" t="s">
        <x:v>137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00" style="1" hidden="0" customWidth="1"/>
  </x:cols>
  <x:sheetData>
    <x:row r="1" ht="15.75" hidden="0" customHeight="1">
      <x:c r="A1" s="105" t="s">
        <x:v>138</x:v>
      </x:c>
    </x:row>
    <x:row r="2" ht="19.5" hidden="0" customHeight="1">
      <x:c r="A2" s="106"/>
    </x:row>
    <x:row r="3" ht="19.5" hidden="0" customHeight="1">
      <x:c r="A3" s="106" t="s">
        <x:v>139</x:v>
      </x:c>
    </x:row>
    <x:row r="4" ht="19.5" hidden="0" customHeight="1">
      <x:c r="A4" s="106" t="s">
        <x:v>140</x:v>
      </x:c>
    </x:row>
    <x:row r="5" ht="19.5" hidden="0" customHeight="1">
      <x:c r="A5" s="106" t="s">
        <x:v>141</x:v>
      </x:c>
    </x:row>
    <x:row r="6" ht="19.5" hidden="0" customHeight="1">
      <x:c r="A6" s="106" t="s">
        <x:v>142</x:v>
      </x:c>
    </x:row>
    <x:row r="7" ht="19.5" hidden="0" customHeight="1">
      <x:c r="A7" s="106" t="s">
        <x:v>143</x:v>
      </x:c>
    </x:row>
    <x:row r="8">
      <x:c r="A8" s="31"/>
    </x:row>
    <x:row r="9">
      <x:c r="A9" s="39" t="str">
        <x:v>Player scoring framework added</x:v>
      </x:c>
    </x:row>
    <x:row r="10">
      <x:c r="A10" s="31" t="str">
        <x:v>Use the Player Assessment tab for one player/evaluation.</x:v>
      </x:c>
    </x:row>
    <x:row r="11">
      <x:c r="A11" s="31" t="str">
        <x:v>Rate only observed skills from 1–4; leave unobserved skills blank.</x:v>
      </x:c>
    </x:row>
    <x:row r="12">
      <x:c r="A12" s="31" t="str">
        <x:v>Use the Scoring Framework tab for the global scale and skill-specific anchors.</x:v>
      </x:c>
    </x:row>
    <x:row r="13">
      <x:c r="A13" s="31" t="str">
        <x:v>Duplicate Player Assessment for another player/date, or build a longitudinal log as a next step.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</x:cols>
  <x:sheetData>
    <x:row r="1" ht="30" customHeight="1">
      <x:c r="A1" s="65" t="str">
        <x:v>PLAYER DEVELOPMENT SCORING FRAMEWORK</x:v>
      </x:c>
      <x:c r="B1" s="65"/>
      <x:c r="C1" s="65"/>
      <x:c r="D1" s="65"/>
      <x:c r="E1" s="65"/>
      <x:c r="F1" s="65"/>
    </x:row>
    <x:row r="2" ht="32" customHeight="1">
      <x:c r="A2" s="48" t="str">
        <x:v>Score observed football behavior — not personality, potential, or comparison with other children. Leave a skill blank when there is not enough evidence.</x:v>
      </x:c>
      <x:c r="B2" s="48"/>
      <x:c r="C2" s="48"/>
      <x:c r="D2" s="48"/>
      <x:c r="E2" s="48"/>
      <x:c r="F2" s="48"/>
    </x:row>
    <x:row r="3">
      <x:c r="A3" s="49"/>
      <x:c r="B3" s="49"/>
      <x:c r="C3" s="49"/>
      <x:c r="D3" s="49"/>
      <x:c r="E3" s="49"/>
      <x:c r="F3" s="49"/>
    </x:row>
    <x:row r="4">
      <x:c r="A4" s="47" t="str">
        <x:v>Score</x:v>
      </x:c>
      <x:c r="B4" s="47" t="str">
        <x:v>Level</x:v>
      </x:c>
      <x:c r="C4" s="47" t="str">
        <x:v>Global anchor</x:v>
      </x:c>
      <x:c r="D4" s="49"/>
      <x:c r="E4" s="50" t="str">
        <x:v>Assessment rule</x:v>
      </x:c>
      <x:c r="F4" s="50" t="str">
        <x:v>How to apply it</x:v>
      </x:c>
    </x:row>
    <x:row r="5">
      <x:c r="A5" s="51" t="n">
        <x:v>1</x:v>
      </x:c>
      <x:c r="B5" s="52" t="str">
        <x:v>Emerging</x:v>
      </x:c>
      <x:c r="C5" s="53" t="str">
        <x:v>Behavior appears rarely or only with substantial support; execution/decision often breaks down even in simple situations.</x:v>
      </x:c>
      <x:c r="D5" s="49"/>
      <x:c r="E5" s="53" t="str">
        <x:v>Evidence first</x:v>
      </x:c>
      <x:c r="F5" s="53" t="str">
        <x:v>Use game play or representative practice. Record a brief example supporting the score.</x:v>
      </x:c>
    </x:row>
    <x:row r="6">
      <x:c r="A6" s="51" t="n">
        <x:v>2</x:v>
      </x:c>
      <x:c r="B6" s="52" t="str">
        <x:v>Developing</x:v>
      </x:c>
      <x:c r="C6" s="53" t="str">
        <x:v>Behavior appears in controlled or familiar situations but is inconsistent at game speed, under pressure, or without prompts.</x:v>
      </x:c>
      <x:c r="D6" s="49"/>
      <x:c r="E6" s="53" t="str">
        <x:v>No forced score</x:v>
      </x:c>
      <x:c r="F6" s="53" t="str">
        <x:v>If the coach has not seen enough, leave the rating blank rather than guessing.</x:v>
      </x:c>
    </x:row>
    <x:row r="7">
      <x:c r="A7" s="51" t="n">
        <x:v>3</x:v>
      </x:c>
      <x:c r="B7" s="52" t="str">
        <x:v>Consistent</x:v>
      </x:c>
      <x:c r="C7" s="53" t="str">
        <x:v>Behavior is demonstrated regularly in game-realistic situations with appropriate execution and limited prompting.</x:v>
      </x:c>
      <x:c r="D7" s="49"/>
      <x:c r="E7" s="53" t="str">
        <x:v>Context matters</x:v>
      </x:c>
      <x:c r="F7" s="53" t="str">
        <x:v>Judge the action relative to the player’s role, age group, task and pressure — not against another child.</x:v>
      </x:c>
    </x:row>
    <x:row r="8">
      <x:c r="A8" s="51" t="n">
        <x:v>4</x:v>
      </x:c>
      <x:c r="B8" s="52" t="str">
        <x:v>Advanced</x:v>
      </x:c>
      <x:c r="C8" s="53" t="str">
        <x:v>Behavior is repeated under high pressure, adapted to changing situations, and creates a clear advantage for the player or team.</x:v>
      </x:c>
      <x:c r="D8" s="49"/>
      <x:c r="E8" s="53" t="str">
        <x:v>High scores require repetition</x:v>
      </x:c>
      <x:c r="F8" s="53" t="str">
        <x:v>A 3 or 4 should be seen repeatedly, not from one isolated successful action.</x:v>
      </x:c>
    </x:row>
    <x:row r="9">
      <x:c r="A9" s="49"/>
      <x:c r="B9" s="49"/>
      <x:c r="C9" s="49"/>
      <x:c r="D9" s="49"/>
      <x:c r="E9" s="53" t="str">
        <x:v>Physical maturity</x:v>
      </x:c>
      <x:c r="F9" s="53" t="str">
        <x:v>For speed/endurance, assess mechanics, repeated effort and game application; avoid grading biological maturity.</x:v>
      </x:c>
    </x:row>
    <x:row r="10">
      <x:c r="A10" s="49"/>
      <x:c r="B10" s="49"/>
      <x:c r="C10" s="49"/>
      <x:c r="D10" s="49"/>
      <x:c r="E10" s="53" t="str">
        <x:v>Development, not ranking</x:v>
      </x:c>
      <x:c r="F10" s="53" t="str">
        <x:v>Overall and pillar averages summarize the current profile. They are not a talent grade or selection ranking.</x:v>
      </x:c>
    </x:row>
    <x:row r="11">
      <x:c r="A11" s="49"/>
      <x:c r="B11" s="49"/>
      <x:c r="C11" s="49"/>
      <x:c r="D11" s="49"/>
      <x:c r="E11" s="112" t="str">
        <x:v>Interpret 3 correctly</x:v>
      </x:c>
      <x:c r="F11" s="112" t="str">
        <x:v>Consistent is already a strong outcome: the behavior transfers into game-realistic play. A 4 is reserved for repeated, adaptable, advantage-creating execution.</x:v>
      </x:c>
    </x:row>
    <x:row r="12">
      <x:c r="A12" s="54" t="str">
        <x:v>Pillar</x:v>
      </x:c>
      <x:c r="B12" s="54" t="str">
        <x:v>Sub-skill</x:v>
      </x:c>
      <x:c r="C12" s="54" t="str">
        <x:v>1 — Emerging</x:v>
      </x:c>
      <x:c r="D12" s="54" t="str">
        <x:v>2 — Developing</x:v>
      </x:c>
      <x:c r="E12" s="54" t="str">
        <x:v>3 — Consistent</x:v>
      </x:c>
      <x:c r="F12" s="54" t="str">
        <x:v>4 — Advanced</x:v>
      </x:c>
    </x:row>
    <x:row r="13" ht="72" customHeight="1">
      <x:c r="A13" s="55" t="str">
        <x:v>Technical</x:v>
      </x:c>
      <x:c r="B13" s="55" t="str">
        <x:v>First touch</x:v>
      </x:c>
      <x:c r="C13" s="55" t="str">
        <x:v>Frequently loses control or stops the ball under the body; often needs extra touches even without pressure.</x:v>
      </x:c>
      <x:c r="D13" s="55" t="str">
        <x:v>Controls simple service but directional touch is inconsistent; pace, aerial balls or pressure often disrupt the next action.</x:v>
      </x:c>
      <x:c r="E13" s="55" t="str">
        <x:v>First touch usually moves the ball into useful space and supports the next action under realistic pressure.</x:v>
      </x:c>
      <x:c r="F13" s="55" t="str">
        <x:v>Manipulates the first touch intentionally to escape pressure or create advantage using different surfaces, feet and types of service.</x:v>
      </x:c>
    </x:row>
    <x:row r="14" ht="72" customHeight="1">
      <x:c r="A14" s="55" t="str">
        <x:v>Technical</x:v>
      </x:c>
      <x:c r="B14" s="55" t="str">
        <x:v>Passing</x:v>
      </x:c>
      <x:c r="C14" s="55" t="str">
        <x:v>Short-pass technique and accuracy are inconsistent; weight is often wrong and play is heavily dependent on one foot.</x:v>
      </x:c>
      <x:c r="D14" s="55" t="str">
        <x:v>Completes simple passes with time, but weight, correct-foot selection and weak-foot use become inconsistent under pressure.</x:v>
      </x:c>
      <x:c r="E14" s="55" t="str">
        <x:v>Delivers accurate, appropriately weighted passes to useful areas/feet with both feet in most game situations.</x:v>
      </x:c>
      <x:c r="F14" s="55" t="str">
        <x:v>Varies weight, angle, tempo and range intelligently; consistently finds line-breaking or advantage-creating passes under pressure.</x:v>
      </x:c>
    </x:row>
    <x:row r="15" ht="72" customHeight="1">
      <x:c r="A15" s="55" t="str">
        <x:v>Technical</x:v>
      </x:c>
      <x:c r="B15" s="55" t="str">
        <x:v>Dribbling</x:v>
      </x:c>
      <x:c r="C15" s="55" t="str">
        <x:v>Ball is often too far away or trapped under the body; changes of direction are difficult and the player frequently dribbles into pressure.</x:v>
      </x:c>
      <x:c r="D15" s="55" t="str">
        <x:v>Can use basic changes of direction or beat passive pressure, but control and choice are inconsistent at game speed.</x:v>
      </x:c>
      <x:c r="E15" s="55" t="str">
        <x:v>Dribbles with purpose, close control and changes of speed/direction; recognizes when to carry, beat a player or release the ball.</x:v>
      </x:c>
      <x:c r="F15" s="55" t="str">
        <x:v>Manipulates defenders with feints, tempo and both feet; escapes tight spaces or creates a clear advantage consistently.</x:v>
      </x:c>
    </x:row>
    <x:row r="16" ht="72" customHeight="1">
      <x:c r="A16" s="55" t="str">
        <x:v>Technical</x:v>
      </x:c>
      <x:c r="B16" s="55" t="str">
        <x:v>Receiving</x:v>
      </x:c>
      <x:c r="C16" s="55" t="str">
        <x:v>Often waits square to the ball or receives with a closed body shape, requiring a reset before the next action.</x:v>
      </x:c>
      <x:c r="D16" s="55" t="str">
        <x:v>Sometimes opens the body or receives on the back foot, but needs prompts and loses efficiency under pressure.</x:v>
      </x:c>
      <x:c r="E16" s="55" t="str">
        <x:v>Regularly prepares body shape early, receives on the back foot/half-turn and keeps the next action available.</x:v>
      </x:c>
      <x:c r="F16" s="55" t="str">
        <x:v>Adjusts orientation early to pressure and space, receives across lines and can disguise or change the next action immediately.</x:v>
      </x:c>
    </x:row>
    <x:row r="17" ht="72" customHeight="1">
      <x:c r="A17" s="55" t="str">
        <x:v>Technical</x:v>
      </x:c>
      <x:c r="B17" s="55" t="str">
        <x:v>Finishing</x:v>
      </x:c>
      <x:c r="C17" s="55" t="str">
        <x:v>Contact and accuracy are inconsistent; the player rushes chances and relies heavily on the stronger foot.</x:v>
      </x:c>
      <x:c r="D17" s="55" t="str">
        <x:v>Finishes simple chances in controlled practice, but first-touch setup, composure and weaker-foot execution are inconsistent.</x:v>
      </x:c>
      <x:c r="E17" s="55" t="str">
        <x:v>Selects an appropriate finish, prepares the shot well and finishes accurately with both feet across varied game-realistic chances.</x:v>
      </x:c>
      <x:c r="F17" s="55" t="str">
        <x:v>Remains composed under pressure, manipulates goalkeeper/defender cues and executes multiple finish types efficiently from varied angles.</x:v>
      </x:c>
    </x:row>
    <x:row r="18" ht="72" customHeight="1">
      <x:c r="A18" s="55" t="str">
        <x:v>Tactical</x:v>
      </x:c>
      <x:c r="B18" s="55" t="str">
        <x:v>Positioning</x:v>
      </x:c>
      <x:c r="C18" s="55" t="str">
        <x:v>Frequently follows the ball, loses team shape or role responsibilities, and becomes crowded around teammates.</x:v>
      </x:c>
      <x:c r="D18" s="55" t="str">
        <x:v>Understands basic starting positions but drifts or bunches and needs regular reminders to restore width, depth or balance.</x:v>
      </x:c>
      <x:c r="E18" s="55" t="str">
        <x:v>Maintains useful width, depth and role-specific positioning and adjusts as the ball and teammates move.</x:v>
      </x:c>
      <x:c r="F18" s="55" t="str">
        <x:v>Anticipates the next phase, manipulates space and positions early to create attacking advantages or protect the team defensively.</x:v>
      </x:c>
    </x:row>
    <x:row r="19" ht="72" customHeight="1">
      <x:c r="A19" s="55" t="str">
        <x:v>Tactical</x:v>
      </x:c>
      <x:c r="B19" s="55" t="str">
        <x:v>Scanning</x:v>
      </x:c>
      <x:c r="C19" s="55" t="str">
        <x:v>Rarely checks surroundings before receiving and usually reacts only after the ball arrives.</x:v>
      </x:c>
      <x:c r="D19" s="55" t="str">
        <x:v>Scans when prompted or before some receptions, but frequency and use of the information are inconsistent.</x:v>
      </x:c>
      <x:c r="E19" s="55" t="str">
        <x:v>Checks shoulders before and during receiving and regularly uses the information to select the next action.</x:v>
      </x:c>
      <x:c r="F19" s="55" t="str">
        <x:v>Scans continuously and purposefully, tracks pressure/space/teammates/opponents and anticipates the next picture before it forms.</x:v>
      </x:c>
    </x:row>
    <x:row r="20" ht="72" customHeight="1">
      <x:c r="A20" s="55" t="str">
        <x:v>Tactical</x:v>
      </x:c>
      <x:c r="B20" s="55" t="str">
        <x:v>Decisions</x:v>
      </x:c>
      <x:c r="C20" s="55" t="str">
        <x:v>Defaults to the same action, holds the ball too long or misses obvious passing/dribbling/shooting options.</x:v>
      </x:c>
      <x:c r="D20" s="55" t="str">
        <x:v>Makes correct simple choices when time is available, but decisions become inconsistent as pressure and speed increase.</x:v>
      </x:c>
      <x:c r="E20" s="55" t="str">
        <x:v>Chooses pass, dribble or shoot appropriately with good timing in most game situations.</x:v>
      </x:c>
      <x:c r="F20" s="55" t="str">
        <x:v>Recognizes cues early, changes the decision as the picture changes and manages risk, tempo and game state effectively.</x:v>
      </x:c>
    </x:row>
    <x:row r="21" ht="72" customHeight="1">
      <x:c r="A21" s="55" t="str">
        <x:v>Tactical</x:v>
      </x:c>
      <x:c r="B21" s="55" t="str">
        <x:v>Support</x:v>
      </x:c>
      <x:c r="C21" s="55" t="str">
        <x:v>Often becomes static after passing, hides behind opponents or provides no useful passing angle.</x:v>
      </x:c>
      <x:c r="D21" s="55" t="str">
        <x:v>Offers support but the angle, distance or timing is inconsistent and often requires coaching prompts.</x:v>
      </x:c>
      <x:c r="E21" s="55" t="str">
        <x:v>Regularly creates clear passing angles and adjusts distance/position as the ball moves.</x:v>
      </x:c>
      <x:c r="F21" s="55" t="str">
        <x:v>Anticipates combinations, creates third-player/overload options and supports both attacking continuity and defensive balance.</x:v>
      </x:c>
    </x:row>
    <x:row r="22" ht="72" customHeight="1">
      <x:c r="A22" s="55" t="str">
        <x:v>Tactical</x:v>
      </x:c>
      <x:c r="B22" s="55" t="str">
        <x:v>Movement</x:v>
      </x:c>
      <x:c r="C22" s="55" t="str">
        <x:v>Remains static off the ball or makes runs without a clear purpose or connection to the play.</x:v>
      </x:c>
      <x:c r="D22" s="55" t="str">
        <x:v>Makes obvious supporting or forward runs, but timing, spacing and variation are inconsistent.</x:v>
      </x:c>
      <x:c r="E22" s="55" t="str">
        <x:v>Makes purposeful runs to receive or create space, varying checking movements, support and runs in behind.</x:v>
      </x:c>
      <x:c r="F22" s="55" t="str">
        <x:v>Manipulates defenders through well-timed decoy runs, rotations and third-player movement that consistently creates space or advantage.</x:v>
      </x:c>
    </x:row>
    <x:row r="23" ht="72" customHeight="1">
      <x:c r="A23" s="55" t="str">
        <x:v>Physical</x:v>
      </x:c>
      <x:c r="B23" s="55" t="str">
        <x:v>Balance</x:v>
      </x:c>
      <x:c r="C23" s="55" t="str">
        <x:v>Loses body control during turns, contact or shielding and is frequently unstable when controlling the ball on one leg.</x:v>
      </x:c>
      <x:c r="D23" s="55" t="str">
        <x:v>Remains stable in simple actions, but contact or rapid direction changes often disrupt control.</x:v>
      </x:c>
      <x:c r="E23" s="55" t="str">
        <x:v>Maintains body control through turns, shielding and most duels and recovers balance quickly after contact.</x:v>
      </x:c>
      <x:c r="F23" s="55" t="str">
        <x:v>Uses center of gravity and contact intelligently, remaining stable through complex, dynamic football actions under pressure.</x:v>
      </x:c>
    </x:row>
    <x:row r="24" ht="72" customHeight="1">
      <x:c r="A24" s="55" t="str">
        <x:v>Physical</x:v>
      </x:c>
      <x:c r="B24" s="55" t="str">
        <x:v>Coordination</x:v>
      </x:c>
      <x:c r="C24" s="55" t="str">
        <x:v>Footwork, body movement and ball control often appear disconnected when running, receiving or turning.</x:v>
      </x:c>
      <x:c r="D24" s="55" t="str">
        <x:v>Completes movement sequences at moderate speed, but coordination and technique break down as speed/complexity rise.</x:v>
      </x:c>
      <x:c r="E24" s="55" t="str">
        <x:v>Coordinates feet, body and ball fluidly at game-relevant speed across common football actions.</x:v>
      </x:c>
      <x:c r="F24" s="55" t="str">
        <x:v>Moves efficiently under high speed and pressure, adapting surfaces, footwork and body position without losing technical quality.</x:v>
      </x:c>
    </x:row>
    <x:row r="25" ht="72" customHeight="1">
      <x:c r="A25" s="55" t="str">
        <x:v>Physical</x:v>
      </x:c>
      <x:c r="B25" s="55" t="str">
        <x:v>Agility</x:v>
      </x:c>
      <x:c r="C25" s="55" t="str">
        <x:v>Changes direction slowly or with many adjustment steps and struggles to react to an opponent or ball movement.</x:v>
      </x:c>
      <x:c r="D25" s="55" t="str">
        <x:v>Changes direction effectively in planned tasks, but reactive movement and control are inconsistent.</x:v>
      </x:c>
      <x:c r="E25" s="55" t="str">
        <x:v>Reacts and changes direction/speed efficiently with or without the ball while maintaining control.</x:v>
      </x:c>
      <x:c r="F25" s="55" t="str">
        <x:v>Decelerates, re-accelerates and changes direction explosively in multiple planes and uses those actions tactically to gain advantage.</x:v>
      </x:c>
    </x:row>
    <x:row r="26" ht="72" customHeight="1">
      <x:c r="A26" s="55" t="str">
        <x:v>Physical</x:v>
      </x:c>
      <x:c r="B26" s="55" t="str">
        <x:v>Speed</x:v>
      </x:c>
      <x:c r="C26" s="55" t="str">
        <x:v>First steps and sprint mechanics limit acceleration and the player rarely exploits available space at the moment it opens.</x:v>
      </x:c>
      <x:c r="D26" s="55" t="str">
        <x:v>Can accelerate in clear situations, but first-step intent, mechanics or timing are inconsistent.</x:v>
      </x:c>
      <x:c r="E26" s="55" t="str">
        <x:v>Accelerates decisively over game-relevant distances with sound mechanics and uses speed at appropriate moments.</x:v>
      </x:c>
      <x:c r="F26" s="55" t="str">
        <x:v>Repeatedly creates or closes separation through explosive first steps, efficient mechanics and excellent timing. Judge relative to current maturation.</x:v>
      </x:c>
    </x:row>
    <x:row r="27" ht="72" customHeight="1">
      <x:c r="A27" s="55" t="str">
        <x:v>Physical</x:v>
      </x:c>
      <x:c r="B27" s="55" t="str">
        <x:v>Endurance</x:v>
      </x:c>
      <x:c r="C27" s="55" t="str">
        <x:v>Involvement, movement quality or technical execution drops noticeably and extended recovery is often needed.</x:v>
      </x:c>
      <x:c r="D27" s="55" t="str">
        <x:v>Maintains effort for periods, but intensity, concentration or technical quality varies as the session/game continues.</x:v>
      </x:c>
      <x:c r="E27" s="55" t="str">
        <x:v>Repeats high-intensity actions and maintains technical/tactical engagement through most of the session or game.</x:v>
      </x:c>
      <x:c r="F27" s="55" t="str">
        <x:v>Sustains a high work rate and decision quality, recovers quickly between demanding actions and remains influential late in play.</x:v>
      </x:c>
    </x:row>
    <x:row r="28" ht="72" customHeight="1">
      <x:c r="A28" s="55" t="str">
        <x:v>Mental</x:v>
      </x:c>
      <x:c r="B28" s="55" t="str">
        <x:v>Confidence</x:v>
      </x:c>
      <x:c r="C28" s="55" t="str">
        <x:v>Often avoids the ball or avoids attempting learned actions, especially after an error or under pressure.</x:v>
      </x:c>
      <x:c r="D28" s="55" t="str">
        <x:v>Attempts skills in comfortable situations but becomes cautious when pressure rises or after mistakes.</x:v>
      </x:c>
      <x:c r="E28" s="55" t="str">
        <x:v>Regularly asks for the ball and attempts appropriate actions despite the possibility of failure.</x:v>
      </x:c>
      <x:c r="F28" s="55" t="str">
        <x:v>Plays with constructive assertiveness, accepts responsibility in difficult moments and helps teammates play with confidence too.</x:v>
      </x:c>
    </x:row>
    <x:row r="29" ht="72" customHeight="1">
      <x:c r="A29" s="55" t="str">
        <x:v>Mental</x:v>
      </x:c>
      <x:c r="B29" s="55" t="str">
        <x:v>Reaction to mistakes</x:v>
      </x:c>
      <x:c r="C29" s="55" t="str">
        <x:v>Dwells on errors, disengages or is slow to transition into the next action after a mistake.</x:v>
      </x:c>
      <x:c r="D29" s="55" t="str">
        <x:v>Recovers with prompts, but body language or focus can remain affected for several actions.</x:v>
      </x:c>
      <x:c r="E29" s="55" t="str">
        <x:v>Quickly re-engages, resets and performs the next action without allowing the previous mistake to control behavior.</x:v>
      </x:c>
      <x:c r="F29" s="55" t="str">
        <x:v>Responds immediately and constructively, often initiating the recovery action while remaining emotionally steady and solution-focused.</x:v>
      </x:c>
    </x:row>
    <x:row r="30" ht="72" customHeight="1">
      <x:c r="A30" s="55" t="str">
        <x:v>Mental</x:v>
      </x:c>
      <x:c r="B30" s="55" t="str">
        <x:v>Concentration</x:v>
      </x:c>
      <x:c r="C30" s="55" t="str">
        <x:v>Frequently becomes disconnected from play, misses instructions/restarts or reacts late to changes of possession.</x:v>
      </x:c>
      <x:c r="D30" s="55" t="str">
        <x:v>Maintains focus for short periods, but attention drops when away from the ball or during longer phases.</x:v>
      </x:c>
      <x:c r="E30" s="55" t="str">
        <x:v>Stays engaged and recognizes important cues, restarts and phase changes for most of the session/game.</x:v>
      </x:c>
      <x:c r="F30" s="55" t="str">
        <x:v>Maintains sustained focus, anticipates transitions/restarts and helps organize teammates before the next action develops.</x:v>
      </x:c>
    </x:row>
    <x:row r="31" ht="72" customHeight="1">
      <x:c r="A31" s="55" t="str">
        <x:v>Social</x:v>
      </x:c>
      <x:c r="B31" s="55" t="str">
        <x:v>Communication</x:v>
      </x:c>
      <x:c r="C31" s="55" t="str">
        <x:v>Rarely communicates, or information is late/unclear and does not help teammates make decisions.</x:v>
      </x:c>
      <x:c r="D31" s="55" t="str">
        <x:v>Communicates when prompted, mainly to ask for the ball, with inconsistent timing or detail.</x:v>
      </x:c>
      <x:c r="E31" s="55" t="str">
        <x:v>Gives timely, useful football information (e.g., time, turn, pressure, names, organize) and also listens to teammates.</x:v>
      </x:c>
      <x:c r="F31" s="55" t="str">
        <x:v>Uses constant, purposeful two-way communication that improves coordination, awareness and decision-making across the team.</x:v>
      </x:c>
    </x:row>
    <x:row r="32" ht="72" customHeight="1">
      <x:c r="A32" s="55" t="str">
        <x:v>Social</x:v>
      </x:c>
      <x:c r="B32" s="55" t="str">
        <x:v>Teamwork</x:v>
      </x:c>
      <x:c r="C32" s="55" t="str">
        <x:v>Frequently prioritizes an individual action and offers limited support, sharing or inclusion of teammates.</x:v>
      </x:c>
      <x:c r="D32" s="55" t="str">
        <x:v>Cooperates with teammates but decisions and effort can become individualistic or inconsistent.</x:v>
      </x:c>
      <x:c r="E32" s="55" t="str">
        <x:v>Shares the ball, supports teammates, accepts roles and recognizes team actions as well as personal actions.</x:v>
      </x:c>
      <x:c r="F32" s="55" t="str">
        <x:v>Actively improves group function by covering teammates, connecting units, helping others succeed and placing team needs ahead of personal statistics.</x:v>
      </x:c>
    </x:row>
    <x:row r="33" ht="72" customHeight="1">
      <x:c r="A33" s="55" t="str">
        <x:v>Social</x:v>
      </x:c>
      <x:c r="B33" s="55" t="str">
        <x:v>Response to coaching</x:v>
      </x:c>
      <x:c r="C33" s="55" t="str">
        <x:v>Struggles to listen to or attempt feedback and repeats the same behavior without visibly trying the adjustment.</x:v>
      </x:c>
      <x:c r="D33" s="55" t="str">
        <x:v>Understands feedback and attempts the change, but needs reminders or repeated demonstrations.</x:v>
      </x:c>
      <x:c r="E33" s="55" t="str">
        <x:v>Listens, asks for clarification when needed and applies feedback in subsequent repetitions or game situations.</x:v>
      </x:c>
      <x:c r="F33" s="55" t="str">
        <x:v>Applies feedback independently, reflects on it and transfers the underlying principle to new situations without repeated prompting.</x:v>
      </x:c>
    </x:row>
    <x:row r="34">
      <x:c r="A34" s="49"/>
      <x:c r="B34" s="49"/>
      <x:c r="C34" s="49"/>
      <x:c r="D34" s="49"/>
      <x:c r="E34" s="49"/>
      <x:c r="F34" s="49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2" hidden="0" customWidth="1"/>
    <x:col min="4" max="4" width="14" hidden="0" customWidth="1"/>
    <x:col min="5" max="5" width="38" hidden="0" customWidth="1"/>
    <x:col min="6" max="6" width="14" hidden="0" customWidth="1"/>
    <x:col min="7" max="7" width="30" hidden="0" customWidth="1"/>
    <x:col min="8" max="8" width="46" hidden="0" customWidth="1"/>
    <x:col min="10" max="10" width="21" hidden="0" customWidth="1"/>
    <x:col min="11" max="11" width="16" hidden="0" customWidth="1"/>
    <x:col min="12" max="12" width="18" hidden="0" customWidth="1"/>
  </x:cols>
  <x:sheetData>
    <x:row r="1" ht="30" customHeight="1">
      <x:c r="A1" s="65" t="str">
        <x:v>PLAYER DEVELOPMENT ASSESSMENT</x:v>
      </x:c>
      <x:c r="B1" s="65"/>
      <x:c r="C1" s="65"/>
      <x:c r="D1" s="65"/>
      <x:c r="E1" s="65"/>
      <x:c r="F1" s="65"/>
      <x:c r="G1" s="65"/>
      <x:c r="H1" s="65"/>
      <x:c r="I1" s="49"/>
      <x:c r="J1" s="87" t="str">
        <x:v>ASSESSMENT SUMMARY</x:v>
      </x:c>
      <x:c r="K1" s="87"/>
      <x:c r="L1" s="87"/>
    </x:row>
    <x:row r="2">
      <x:c r="A2" s="49"/>
      <x:c r="B2" s="49"/>
      <x:c r="C2" s="49"/>
      <x:c r="D2" s="49"/>
      <x:c r="E2" s="49"/>
      <x:c r="F2" s="49"/>
      <x:c r="G2" s="49"/>
      <x:c r="H2" s="49"/>
      <x:c r="I2" s="49"/>
      <x:c r="J2" s="49"/>
      <x:c r="K2" s="49"/>
      <x:c r="L2" s="49"/>
    </x:row>
    <x:row r="3">
      <x:c r="A3" s="88" t="str">
        <x:v>Player name</x:v>
      </x:c>
      <x:c r="B3" s="89" t="str"/>
      <x:c r="C3" s="49"/>
      <x:c r="D3" s="88" t="str">
        <x:v>Coach</x:v>
      </x:c>
      <x:c r="E3" s="89" t="str"/>
      <x:c r="F3" s="49"/>
      <x:c r="G3" s="49"/>
      <x:c r="H3" s="49"/>
      <x:c r="I3" s="49"/>
      <x:c r="J3" s="50" t="str">
        <x:v>Metric</x:v>
      </x:c>
      <x:c r="K3" s="50" t="str">
        <x:v>Result</x:v>
      </x:c>
      <x:c r="L3" s="49"/>
    </x:row>
    <x:row r="4">
      <x:c r="A4" s="88" t="str">
        <x:v>Age group</x:v>
      </x:c>
      <x:c r="B4" s="89" t="str"/>
      <x:c r="C4" s="49"/>
      <x:c r="D4" s="88" t="str">
        <x:v>Assessment date</x:v>
      </x:c>
      <x:c r="E4" s="90" t="str"/>
      <x:c r="F4" s="49"/>
      <x:c r="G4" s="49"/>
      <x:c r="H4" s="49"/>
      <x:c r="I4" s="49"/>
      <x:c r="J4" s="49" t="str">
        <x:v>Overall average</x:v>
      </x:c>
      <x:c r="K4" s="91" t="str">
        <x:f>IFERROR(AVERAGE($C$9:$C$29),"")</x:f>
      </x:c>
      <x:c r="L4" s="49"/>
    </x:row>
    <x:row r="5">
      <x:c r="A5" s="88" t="str">
        <x:v>Position(s)</x:v>
      </x:c>
      <x:c r="B5" s="89" t="str"/>
      <x:c r="C5" s="49"/>
      <x:c r="D5" s="88" t="str">
        <x:v>Assessment type</x:v>
      </x:c>
      <x:c r="E5" s="89" t="str"/>
      <x:c r="F5" s="49"/>
      <x:c r="G5" s="49"/>
      <x:c r="H5" s="49"/>
      <x:c r="I5" s="49"/>
      <x:c r="J5" s="49" t="str">
        <x:v>Overall level</x:v>
      </x:c>
      <x:c r="K5" s="49" t="str">
        <x:f>IF(K4="","",IF(K4&lt;1.5,"Emerging",IF(K4&lt;2.5,"Developing",IF(K4&lt;3.5,"Consistent","Advanced"))))</x:f>
      </x:c>
      <x:c r="L5" s="49"/>
    </x:row>
    <x:row r="6">
      <x:c r="A6" s="88" t="str">
        <x:v>Dominant foot</x:v>
      </x:c>
      <x:c r="B6" s="89" t="str"/>
      <x:c r="C6" s="49"/>
      <x:c r="D6" s="88" t="str">
        <x:v>Team / Program</x:v>
      </x:c>
      <x:c r="E6" s="89" t="str"/>
      <x:c r="F6" s="49"/>
      <x:c r="G6" s="49"/>
      <x:c r="H6" s="49"/>
      <x:c r="I6" s="49"/>
      <x:c r="J6" s="49" t="str">
        <x:v>Skills assessed</x:v>
      </x:c>
      <x:c r="K6" s="49" t="str">
        <x:f>COUNT($C$9:$C$29)&amp;" / 21"</x:f>
        <x:v>0 / 21</x:v>
      </x:c>
      <x:c r="L6" s="49"/>
    </x:row>
    <x:row r="7">
      <x:c r="A7" s="49"/>
      <x:c r="B7" s="49"/>
      <x:c r="C7" s="49"/>
      <x:c r="D7" s="49"/>
      <x:c r="E7" s="49"/>
      <x:c r="F7" s="49"/>
      <x:c r="G7" s="49"/>
      <x:c r="H7" s="49"/>
      <x:c r="I7" s="49"/>
      <x:c r="J7" s="49"/>
      <x:c r="K7" s="49"/>
      <x:c r="L7" s="49"/>
    </x:row>
    <x:row r="8">
      <x:c r="A8" s="54" t="str">
        <x:v>Pillar</x:v>
      </x:c>
      <x:c r="B8" s="54" t="str">
        <x:v>Sub-skill</x:v>
      </x:c>
      <x:c r="C8" s="54" t="str">
        <x:v>Rating (1–4)</x:v>
      </x:c>
      <x:c r="D8" s="54" t="str">
        <x:v>Level</x:v>
      </x:c>
      <x:c r="E8" s="54" t="str">
        <x:v>Evidence / coach observation</x:v>
      </x:c>
      <x:c r="F8" s="54" t="str">
        <x:v>Priority</x:v>
      </x:c>
      <x:c r="G8" s="54" t="str">
        <x:v>Coaching cue</x:v>
      </x:c>
      <x:c r="H8" s="54" t="str">
        <x:v>Development action</x:v>
      </x:c>
      <x:c r="I8" s="49"/>
      <x:c r="J8" s="50" t="str">
        <x:v>Pillar</x:v>
      </x:c>
      <x:c r="K8" s="50" t="str">
        <x:v>Average</x:v>
      </x:c>
      <x:c r="L8" s="49"/>
    </x:row>
    <x:row r="9" ht="58" customHeight="1">
      <x:c r="A9" s="99" t="str">
        <x:v>Technical</x:v>
      </x:c>
      <x:c r="B9" s="99" t="str">
        <x:v>First touch</x:v>
      </x:c>
      <x:c r="C9" s="101"/>
      <x:c r="D9" s="101" t="str">
        <x:f>IF(C9="","",IF(C9=1,"Emerging",IF(C9=2,"Developing",IF(C9=3,"Consistent","Advanced"))))</x:f>
      </x:c>
      <x:c r="E9" s="55"/>
      <x:c r="F9" s="103"/>
      <x:c r="G9" s="55" t="str">
        <x:v>Check your shoulder before it arrives</x:v>
      </x:c>
      <x:c r="H9" s="55" t="str">
        <x:v>1) Wall cushion reps - rebound at varying heights/speeds, cushion dead, alter...</x:v>
      </x:c>
      <x:c r="I9" s="49"/>
      <x:c r="J9" s="49" t="str">
        <x:v>Technical</x:v>
      </x:c>
      <x:c r="K9" s="91" t="str">
        <x:f>IF(COUNT($C$9:$C$13)=0,"",AVERAGE($C$9:$C$13))</x:f>
      </x:c>
      <x:c r="L9" s="49"/>
    </x:row>
    <x:row r="10" ht="58" customHeight="1">
      <x:c r="A10" s="99" t="str">
        <x:v>Technical</x:v>
      </x:c>
      <x:c r="B10" s="99" t="str">
        <x:v>Passing</x:v>
      </x:c>
      <x:c r="C10" s="101"/>
      <x:c r="D10" s="101" t="str">
        <x:f>IF(C10="","",IF(C10=1,"Emerging",IF(C10=2,"Developing",IF(C10=3,"Consistent","Advanced"))))</x:f>
      </x:c>
      <x:c r="E10" s="55"/>
      <x:c r="F10" s="103"/>
      <x:c r="G10" s="55" t="str">
        <x:v>Which foot does your teammate need it on?</x:v>
      </x:c>
      <x:c r="H10" s="55" t="str">
        <x:v>1) Target-gate passing - pass through small gates to a moving partner, reward...</x:v>
      </x:c>
      <x:c r="I10" s="49"/>
      <x:c r="J10" s="49" t="str">
        <x:v>Tactical</x:v>
      </x:c>
      <x:c r="K10" s="91" t="str">
        <x:f>IF(COUNT($C$14:$C$18)=0,"",AVERAGE($C$14:$C$18))</x:f>
      </x:c>
      <x:c r="L10" s="49"/>
    </x:row>
    <x:row r="11" ht="58" customHeight="1">
      <x:c r="A11" s="99" t="str">
        <x:v>Technical</x:v>
      </x:c>
      <x:c r="B11" s="99" t="str">
        <x:v>Dribbling</x:v>
      </x:c>
      <x:c r="C11" s="101"/>
      <x:c r="D11" s="101" t="str">
        <x:f>IF(C11="","",IF(C11=1,"Emerging",IF(C11=2,"Developing",IF(C11=3,"Consistent","Advanced"))))</x:f>
      </x:c>
      <x:c r="E11" s="55"/>
      <x:c r="F11" s="103"/>
      <x:c r="G11" s="55" t="str">
        <x:v>Attack when you have space, pass when you don't</x:v>
      </x:c>
      <x:c r="H11" s="55" t="str">
        <x:v>1) 1v1 grid battles - small grid, both feet, reward beating the defender not ...</x:v>
      </x:c>
      <x:c r="I11" s="49"/>
      <x:c r="J11" s="49" t="str">
        <x:v>Physical</x:v>
      </x:c>
      <x:c r="K11" s="91" t="str">
        <x:f>IF(COUNT($C$19:$C$23)=0,"",AVERAGE($C$19:$C$23))</x:f>
      </x:c>
      <x:c r="L11" s="49"/>
    </x:row>
    <x:row r="12" ht="58" customHeight="1">
      <x:c r="A12" s="99" t="str">
        <x:v>Technical</x:v>
      </x:c>
      <x:c r="B12" s="99" t="str">
        <x:v>Receiving</x:v>
      </x:c>
      <x:c r="C12" s="101"/>
      <x:c r="D12" s="101" t="str">
        <x:f>IF(C12="","",IF(C12=1,"Emerging",IF(C12=2,"Developing",IF(C12=3,"Consistent","Advanced"))))</x:f>
      </x:c>
      <x:c r="E12" s="55"/>
      <x:c r="F12" s="103"/>
      <x:c r="G12" s="55" t="str">
        <x:v>See it before you get it</x:v>
      </x:c>
      <x:c r="H12" s="55" t="str">
        <x:v>1) Shoulder-check reps - partner passes while receiver checks over shoulder e...</x:v>
      </x:c>
      <x:c r="I12" s="49"/>
      <x:c r="J12" s="49" t="str">
        <x:v>Mental</x:v>
      </x:c>
      <x:c r="K12" s="91" t="str">
        <x:f>IF(COUNT($C$24:$C$26)=0,"",AVERAGE($C$24:$C$26))</x:f>
      </x:c>
      <x:c r="L12" s="49"/>
    </x:row>
    <x:row r="13" ht="58" customHeight="1">
      <x:c r="A13" s="99" t="str">
        <x:v>Technical</x:v>
      </x:c>
      <x:c r="B13" s="99" t="str">
        <x:v>Finishing</x:v>
      </x:c>
      <x:c r="C13" s="101"/>
      <x:c r="D13" s="101" t="str">
        <x:f>IF(C13="","",IF(C13=1,"Emerging",IF(C13=2,"Developing",IF(C13=3,"Consistent","Advanced"))))</x:f>
      </x:c>
      <x:c r="E13" s="55"/>
      <x:c r="F13" s="103"/>
      <x:c r="G13" s="55" t="str">
        <x:v>First touch sets up the shot</x:v>
      </x:c>
      <x:c r="H13" s="55" t="str">
        <x:v>1) Both-feet finishing reps - alternate strong/weak foot on every repetition ...</x:v>
      </x:c>
      <x:c r="I13" s="49"/>
      <x:c r="J13" s="49" t="str">
        <x:v>Social</x:v>
      </x:c>
      <x:c r="K13" s="91" t="str">
        <x:f>IF(COUNT($C$27:$C$29)=0,"",AVERAGE($C$27:$C$29))</x:f>
      </x:c>
      <x:c r="L13" s="49"/>
    </x:row>
    <x:row r="14" ht="58" customHeight="1">
      <x:c r="A14" s="99" t="str">
        <x:v>Tactical</x:v>
      </x:c>
      <x:c r="B14" s="99" t="str">
        <x:v>Positioning</x:v>
      </x:c>
      <x:c r="C14" s="101"/>
      <x:c r="D14" s="101" t="str">
        <x:f>IF(C14="","",IF(C14=1,"Emerging",IF(C14=2,"Developing",IF(C14=3,"Consistent","Advanced"))))</x:f>
      </x:c>
      <x:c r="E14" s="55"/>
      <x:c r="F14" s="103"/>
      <x:c r="G14" s="55" t="str">
        <x:v>Find your space</x:v>
      </x:c>
      <x:c r="H14" s="55" t="str">
        <x:v>1) Clumps around the ball - zoned games where players must stay in their chan...</x:v>
      </x:c>
      <x:c r="I14" s="49"/>
      <x:c r="J14" s="49"/>
      <x:c r="K14" s="49"/>
      <x:c r="L14" s="49"/>
    </x:row>
    <x:row r="15" ht="58" customHeight="1">
      <x:c r="A15" s="99" t="str">
        <x:v>Tactical</x:v>
      </x:c>
      <x:c r="B15" s="99" t="str">
        <x:v>Scanning</x:v>
      </x:c>
      <x:c r="C15" s="101"/>
      <x:c r="D15" s="101" t="str">
        <x:f>IF(C15="","",IF(C15=1,"Emerging",IF(C15=2,"Developing",IF(C15=3,"Consistent","Advanced"))))</x:f>
      </x:c>
      <x:c r="E15" s="55"/>
      <x:c r="F15" s="103"/>
      <x:c r="G15" s="55" t="str">
        <x:v>Check often, not just once</x:v>
      </x:c>
      <x:c r="H15" s="55" t="str">
        <x:v>1) Doesn't scan before receiving - random-cue shoulder-check reps (coach clap...</x:v>
      </x:c>
      <x:c r="I15" s="49"/>
      <x:c r="J15" s="92" t="str">
        <x:v>COACH WORKFLOW
1. Observe the skill in a game or representative activity.
2. Select 1–4 using the skill-specific rubric.
3. Record one brief piece of evidence.
4. Set High / Medium / Maintain priority.
5. Reassess after the development block.</x:v>
      </x:c>
      <x:c r="K15" s="92"/>
      <x:c r="L15" s="92"/>
    </x:row>
    <x:row r="16" ht="58" customHeight="1">
      <x:c r="A16" s="99" t="str">
        <x:v>Tactical</x:v>
      </x:c>
      <x:c r="B16" s="99" t="str">
        <x:v>Decisions</x:v>
      </x:c>
      <x:c r="C16" s="101"/>
      <x:c r="D16" s="101" t="str">
        <x:f>IF(C16="","",IF(C16=1,"Emerging",IF(C16=2,"Developing",IF(C16=3,"Consistent","Advanced"))))</x:f>
      </x:c>
      <x:c r="E16" s="55"/>
      <x:c r="F16" s="103"/>
      <x:c r="G16" s="55" t="str">
        <x:v>What does the game ask for?</x:v>
      </x:c>
      <x:c r="H16" s="55" t="str">
        <x:v>1) Always dribbles regardless of options - overload games rewarding a quick p...</x:v>
      </x:c>
      <x:c r="I16" s="49"/>
      <x:c r="J16" s="92"/>
      <x:c r="K16" s="92"/>
      <x:c r="L16" s="92"/>
    </x:row>
    <x:row r="17" ht="58" customHeight="1">
      <x:c r="A17" s="99" t="str">
        <x:v>Tactical</x:v>
      </x:c>
      <x:c r="B17" s="99" t="str">
        <x:v>Support</x:v>
      </x:c>
      <x:c r="C17" s="101"/>
      <x:c r="D17" s="101" t="str">
        <x:f>IF(C17="","",IF(C17=1,"Emerging",IF(C17=2,"Developing",IF(C17=3,"Consistent","Advanced"))))</x:f>
      </x:c>
      <x:c r="E17" s="55"/>
      <x:c r="F17" s="103"/>
      <x:c r="G17" s="55" t="str">
        <x:v>Always give an option</x:v>
      </x:c>
      <x:c r="H17" s="55" t="str">
        <x:v>1) Stands still after passing - enforce pass-and-move, can't return to the sa...</x:v>
      </x:c>
      <x:c r="I17" s="49"/>
      <x:c r="J17" s="92"/>
      <x:c r="K17" s="92"/>
      <x:c r="L17" s="92"/>
    </x:row>
    <x:row r="18" ht="58" customHeight="1">
      <x:c r="A18" s="99" t="str">
        <x:v>Tactical</x:v>
      </x:c>
      <x:c r="B18" s="99" t="str">
        <x:v>Movement</x:v>
      </x:c>
      <x:c r="C18" s="101"/>
      <x:c r="D18" s="101" t="str">
        <x:f>IF(C18="","",IF(C18=1,"Emerging",IF(C18=2,"Developing",IF(C18=3,"Consistent","Advanced"))))</x:f>
      </x:c>
      <x:c r="E18" s="55"/>
      <x:c r="F18" s="103"/>
      <x:c r="G18" s="55" t="str">
        <x:v>Move to be useful, not just busy</x:v>
      </x:c>
      <x:c r="H18" s="55" t="str">
        <x:v>1) Static off the ball - constrained games where standing still forfeits poss...</x:v>
      </x:c>
      <x:c r="I18" s="49"/>
      <x:c r="J18" s="92"/>
      <x:c r="K18" s="92"/>
      <x:c r="L18" s="92"/>
    </x:row>
    <x:row r="19" ht="58" customHeight="1">
      <x:c r="A19" s="99" t="str">
        <x:v>Physical</x:v>
      </x:c>
      <x:c r="B19" s="99" t="str">
        <x:v>Balance</x:v>
      </x:c>
      <x:c r="C19" s="101"/>
      <x:c r="D19" s="101" t="str">
        <x:f>IF(C19="","",IF(C19=1,"Emerging",IF(C19=2,"Developing",IF(C19=3,"Consistent","Advanced"))))</x:f>
      </x:c>
      <x:c r="E19" s="55"/>
      <x:c r="F19" s="103"/>
      <x:c r="G19" s="55" t="str">
        <x:v>Stay low and strong</x:v>
      </x:c>
      <x:c r="H19" s="55" t="str">
        <x:v>1) Falls over in duels - shielding practice with controlled pushing, cueing a...</x:v>
      </x:c>
      <x:c r="I19" s="49"/>
      <x:c r="J19" s="49"/>
      <x:c r="K19" s="49"/>
      <x:c r="L19" s="49"/>
    </x:row>
    <x:row r="20" ht="58" customHeight="1">
      <x:c r="A20" s="99" t="str">
        <x:v>Physical</x:v>
      </x:c>
      <x:c r="B20" s="99" t="str">
        <x:v>Coordination</x:v>
      </x:c>
      <x:c r="C20" s="101"/>
      <x:c r="D20" s="101" t="str">
        <x:f>IF(C20="","",IF(C20=1,"Emerging",IF(C20=2,"Developing",IF(C20=3,"Consistent","Advanced"))))</x:f>
      </x:c>
      <x:c r="E20" s="55"/>
      <x:c r="F20" s="103"/>
      <x:c r="G20" s="55" t="str">
        <x:v>Smooth feet, soft touch</x:v>
      </x:c>
      <x:c r="H20" s="55" t="str">
        <x:v>1) Clumsy combining running and ball control - footwork ladder drills feeding...</x:v>
      </x:c>
      <x:c r="I20" s="49"/>
      <x:c r="J20" s="49"/>
      <x:c r="K20" s="49"/>
      <x:c r="L20" s="49"/>
    </x:row>
    <x:row r="21" ht="58" customHeight="1">
      <x:c r="A21" s="99" t="str">
        <x:v>Physical</x:v>
      </x:c>
      <x:c r="B21" s="99" t="str">
        <x:v>Agility</x:v>
      </x:c>
      <x:c r="C21" s="101"/>
      <x:c r="D21" s="101" t="str">
        <x:f>IF(C21="","",IF(C21=1,"Emerging",IF(C21=2,"Developing",IF(C21=3,"Consistent","Advanced"))))</x:f>
      </x:c>
      <x:c r="E21" s="55"/>
      <x:c r="F21" s="103"/>
      <x:c r="G21" s="55" t="str">
        <x:v>Quick feet, quick decisions</x:v>
      </x:c>
      <x:c r="H21" s="55" t="str">
        <x:v>1) Slow to change direction - short shuttle-style cone drills with the ball. ...</x:v>
      </x:c>
      <x:c r="I21" s="49"/>
      <x:c r="J21" s="49"/>
      <x:c r="K21" s="49"/>
      <x:c r="L21" s="49"/>
    </x:row>
    <x:row r="22" ht="58" customHeight="1">
      <x:c r="A22" s="99" t="str">
        <x:v>Physical</x:v>
      </x:c>
      <x:c r="B22" s="99" t="str">
        <x:v>Speed</x:v>
      </x:c>
      <x:c r="C22" s="101"/>
      <x:c r="D22" s="101" t="str">
        <x:f>IF(C22="","",IF(C22=1,"Emerging",IF(C22=2,"Developing",IF(C22=3,"Consistent","Advanced"))))</x:f>
      </x:c>
      <x:c r="E22" s="55"/>
      <x:c r="F22" s="103"/>
      <x:c r="G22" s="55" t="str">
        <x:v>Explode, don't ease into it</x:v>
      </x:c>
      <x:c r="H22" s="55" t="str">
        <x:v>1) Slow off the mark - sprint starts from seated, lying, or jogging positions...</x:v>
      </x:c>
      <x:c r="I22" s="49"/>
      <x:c r="J22" s="49"/>
      <x:c r="K22" s="49"/>
      <x:c r="L22" s="49"/>
    </x:row>
    <x:row r="23" ht="58" customHeight="1">
      <x:c r="A23" s="99" t="str">
        <x:v>Physical</x:v>
      </x:c>
      <x:c r="B23" s="99" t="str">
        <x:v>Endurance</x:v>
      </x:c>
      <x:c r="C23" s="101"/>
      <x:c r="D23" s="101" t="str">
        <x:f>IF(C23="","",IF(C23=1,"Emerging",IF(C23=2,"Developing",IF(C23=3,"Consistent","Advanced"))))</x:f>
      </x:c>
      <x:c r="E23" s="55"/>
      <x:c r="F23" s="103"/>
      <x:c r="G23" s="55" t="str">
        <x:v>Keep your work rate up</x:v>
      </x:c>
      <x:c r="H23" s="55" t="str">
        <x:v>1) Fades in the second half - interval small-sided games that build work capa...</x:v>
      </x:c>
      <x:c r="I23" s="49"/>
      <x:c r="J23" s="49"/>
      <x:c r="K23" s="49"/>
      <x:c r="L23" s="49"/>
    </x:row>
    <x:row r="24" ht="58" customHeight="1">
      <x:c r="A24" s="99" t="str">
        <x:v>Mental</x:v>
      </x:c>
      <x:c r="B24" s="99" t="str">
        <x:v>Confidence</x:v>
      </x:c>
      <x:c r="C24" s="101"/>
      <x:c r="D24" s="101" t="str">
        <x:f>IF(C24="","",IF(C24=1,"Emerging",IF(C24=2,"Developing",IF(C24=3,"Consistent","Advanced"))))</x:f>
      </x:c>
      <x:c r="E24" s="55"/>
      <x:c r="F24" s="103"/>
      <x:c r="G24" s="55" t="str">
        <x:v>Play with freedom</x:v>
      </x:c>
      <x:c r="H24" s="55" t="str">
        <x:v>1) Always plays it safe - bonus points for attempting a 1v1 or skill move eve...</x:v>
      </x:c>
      <x:c r="I24" s="49"/>
      <x:c r="J24" s="49"/>
      <x:c r="K24" s="49"/>
      <x:c r="L24" s="49"/>
    </x:row>
    <x:row r="25" ht="58" customHeight="1">
      <x:c r="A25" s="99" t="str">
        <x:v>Mental</x:v>
      </x:c>
      <x:c r="B25" s="99" t="str">
        <x:v>Reaction to mistakes</x:v>
      </x:c>
      <x:c r="C25" s="101"/>
      <x:c r="D25" s="101" t="str">
        <x:f>IF(C25="","",IF(C25=1,"Emerging",IF(C25=2,"Developing",IF(C25=3,"Consistent","Advanced"))))</x:f>
      </x:c>
      <x:c r="E25" s="55"/>
      <x:c r="F25" s="103"/>
      <x:c r="G25" s="55" t="str">
        <x:v>Next ball</x:v>
      </x:c>
      <x:c r="H25" s="55" t="str">
        <x:v>1) Dwells on errors, head drops - immediate re-engagement drills right after ...</x:v>
      </x:c>
      <x:c r="I25" s="49"/>
      <x:c r="J25" s="49"/>
      <x:c r="K25" s="49"/>
      <x:c r="L25" s="49"/>
    </x:row>
    <x:row r="26" ht="58" customHeight="1">
      <x:c r="A26" s="99" t="str">
        <x:v>Mental</x:v>
      </x:c>
      <x:c r="B26" s="99" t="str">
        <x:v>Concentration</x:v>
      </x:c>
      <x:c r="C26" s="101"/>
      <x:c r="D26" s="101" t="str">
        <x:f>IF(C26="","",IF(C26=1,"Emerging",IF(C26=2,"Developing",IF(C26=3,"Consistent","Advanced"))))</x:f>
      </x:c>
      <x:c r="E26" s="55"/>
      <x:c r="F26" s="103"/>
      <x:c r="G26" s="55" t="str">
        <x:v>Stay switched on</x:v>
      </x:c>
      <x:c r="H26" s="55" t="str">
        <x:v>1) Loses focus during instructions - keep talk short, demonstrate instead of ...</x:v>
      </x:c>
      <x:c r="I26" s="49"/>
      <x:c r="J26" s="49"/>
      <x:c r="K26" s="49"/>
      <x:c r="L26" s="49"/>
    </x:row>
    <x:row r="27" ht="58" customHeight="1">
      <x:c r="A27" s="99" t="str">
        <x:v>Social</x:v>
      </x:c>
      <x:c r="B27" s="99" t="str">
        <x:v>Communication</x:v>
      </x:c>
      <x:c r="C27" s="101"/>
      <x:c r="D27" s="101" t="str">
        <x:f>IF(C27="","",IF(C27=1,"Emerging",IF(C27=2,"Developing",IF(C27=3,"Consistent","Advanced"))))</x:f>
      </x:c>
      <x:c r="E27" s="55"/>
      <x:c r="F27" s="103"/>
      <x:c r="G27" s="55" t="str">
        <x:v>Talk early, talk often</x:v>
      </x:c>
      <x:c r="H27" s="55" t="str">
        <x:v>1) Silent on and off the ball - require a verbal call before receiving or sco...</x:v>
      </x:c>
      <x:c r="I27" s="49"/>
      <x:c r="J27" s="49"/>
      <x:c r="K27" s="49"/>
      <x:c r="L27" s="49"/>
    </x:row>
    <x:row r="28" ht="58" customHeight="1">
      <x:c r="A28" s="99" t="str">
        <x:v>Social</x:v>
      </x:c>
      <x:c r="B28" s="99" t="str">
        <x:v>Teamwork</x:v>
      </x:c>
      <x:c r="C28" s="101"/>
      <x:c r="D28" s="101" t="str">
        <x:f>IF(C28="","",IF(C28=1,"Emerging",IF(C28=2,"Developing",IF(C28=3,"Consistent","Advanced"))))</x:f>
      </x:c>
      <x:c r="E28" s="55"/>
      <x:c r="F28" s="103"/>
      <x:c r="G28" s="55" t="str">
        <x:v>We before me</x:v>
      </x:c>
      <x:c r="H28" s="55" t="str">
        <x:v>1) Ball hogs, doesn't involve others - games that reward assists as much as g...</x:v>
      </x:c>
      <x:c r="I28" s="49"/>
      <x:c r="J28" s="49"/>
      <x:c r="K28" s="49"/>
      <x:c r="L28" s="49"/>
    </x:row>
    <x:row r="29" ht="58" customHeight="1">
      <x:c r="A29" s="99" t="str">
        <x:v>Social</x:v>
      </x:c>
      <x:c r="B29" s="99" t="str">
        <x:v>Response to coaching</x:v>
      </x:c>
      <x:c r="C29" s="101"/>
      <x:c r="D29" s="101" t="str">
        <x:f>IF(C29="","",IF(C29=1,"Emerging",IF(C29=2,"Developing",IF(C29=3,"Consistent","Advanced"))))</x:f>
      </x:c>
      <x:c r="E29" s="55"/>
      <x:c r="F29" s="103"/>
      <x:c r="G29" s="55" t="str">
        <x:v>Hear it, try it</x:v>
      </x:c>
      <x:c r="H29" s="55" t="str">
        <x:v>1) Ignores or resists feedback - immediate try-again drills straight after a ...</x:v>
      </x:c>
      <x:c r="I29" s="49"/>
      <x:c r="J29" s="49"/>
      <x:c r="K29" s="49"/>
      <x:c r="L29" s="49"/>
    </x:row>
    <x:row r="30">
      <x:c r="A30" s="49"/>
      <x:c r="B30" s="49"/>
      <x:c r="C30" s="49"/>
      <x:c r="D30" s="49"/>
      <x:c r="E30" s="49"/>
      <x:c r="F30" s="49"/>
      <x:c r="G30" s="49"/>
      <x:c r="H30" s="49"/>
      <x:c r="I30" s="49"/>
      <x:c r="J30" s="49"/>
      <x:c r="K30" s="49"/>
      <x:c r="L30" s="49"/>
    </x:row>
    <x:row r="31">
      <x:c r="A31" s="49"/>
      <x:c r="B31" s="49"/>
      <x:c r="C31" s="49"/>
      <x:c r="D31" s="49"/>
      <x:c r="E31" s="49"/>
      <x:c r="F31" s="49"/>
      <x:c r="G31" s="49"/>
      <x:c r="H31" s="49"/>
      <x:c r="I31" s="49"/>
      <x:c r="J31" s="49"/>
      <x:c r="K31" s="49"/>
      <x:c r="L31" s="49"/>
    </x:row>
    <x:row r="32">
      <x:c r="A32" s="49"/>
      <x:c r="B32" s="49"/>
      <x:c r="C32" s="49"/>
      <x:c r="D32" s="49"/>
      <x:c r="E32" s="49"/>
      <x:c r="F32" s="49"/>
      <x:c r="G32" s="49"/>
      <x:c r="H32" s="49"/>
      <x:c r="I32" s="49"/>
      <x:c r="J32" s="49"/>
      <x:c r="K32" s="49"/>
      <x:c r="L32" s="49"/>
    </x:row>
    <x:row r="33">
      <x:c r="A33" s="49"/>
      <x:c r="B33" s="49"/>
      <x:c r="C33" s="49"/>
      <x:c r="D33" s="49"/>
      <x:c r="E33" s="49"/>
      <x:c r="F33" s="49"/>
      <x:c r="G33" s="49"/>
      <x:c r="H33" s="49"/>
      <x:c r="I33" s="49"/>
      <x:c r="J33" s="49"/>
      <x:c r="K33" s="49"/>
      <x:c r="L33" s="49"/>
    </x:row>
    <x:row r="34">
      <x:c r="A34" s="49"/>
      <x:c r="B34" s="49"/>
      <x:c r="C34" s="49"/>
      <x:c r="D34" s="49"/>
      <x:c r="E34" s="49"/>
      <x:c r="F34" s="49"/>
      <x:c r="G34" s="49"/>
      <x:c r="H34" s="49"/>
      <x:c r="I34" s="49"/>
      <x:c r="J34" s="49"/>
      <x:c r="K34" s="49"/>
      <x:c r="L34" s="49"/>
    </x:row>
    <x:row r="35">
      <x:c r="A35" s="49"/>
      <x:c r="B35" s="49"/>
      <x:c r="C35" s="49"/>
      <x:c r="D35" s="49"/>
      <x:c r="E35" s="49"/>
      <x:c r="F35" s="49"/>
      <x:c r="G35" s="49"/>
      <x:c r="H35" s="49"/>
      <x:c r="I35" s="49"/>
      <x:c r="J35" s="49"/>
      <x:c r="K35" s="49"/>
      <x:c r="L35" s="49"/>
    </x:row>
  </x:sheetData>
  <x:mergeCells>
    <x:mergeCell ref="A1:H1"/>
    <x:mergeCell ref="J1:L1"/>
    <x:mergeCell ref="J15:L18"/>
  </x:mergeCells>
  <x:conditionalFormatting sqref="C9:C29">
    <x:cfRule type="cellIs" dxfId="0" priority="1">
      <x:formula>1</x:formula>
    </x:cfRule>
    <x:cfRule type="cellIs" dxfId="1" priority="2">
      <x:formula>2</x:formula>
    </x:cfRule>
    <x:cfRule type="cellIs" dxfId="2" priority="3">
      <x:formula>3</x:formula>
    </x:cfRule>
    <x:cfRule type="cellIs" dxfId="3" priority="4">
      <x:formula>4</x:formula>
    </x:cfRule>
  </x:conditionalFormatting>
  <x:conditionalFormatting sqref="F9:F29">
    <x:cfRule type="expression" dxfId="4" priority="5">
      <x:formula>F9="High"</x:formula>
    </x:cfRule>
    <x:cfRule type="expression" dxfId="5" priority="6">
      <x:formula>F9="Medium"</x:formula>
    </x:cfRule>
    <x:cfRule type="expression" dxfId="6" priority="7">
      <x:formula>F9="Maintain"</x:formula>
    </x:cfRule>
  </x:conditionalFormatting>
  <x:conditionalFormatting sqref="K9:K13">
    <x:cfRule type="dataBar" priority="8">
      <x:dataBar>
        <x:cfvo type="min"/>
        <x:cfvo type="max"/>
        <x:color rgb="FF2F6B45"/>
      </x:dataBar>
      <x:extLst>
        <x:ext xmlns:x14="http://schemas.microsoft.com/office/spreadsheetml/2009/9/main" uri="{B025F937-C7B1-47D3-B67F-A62EFF666E3E}">
          <x14:id>{68A4EF95-D0E0-7869-4BFC-FA63AD884FD0}</x14:id>
        </x:ext>
      </x:extLst>
    </x:cfRule>
  </x:conditionalFormatting>
  <x:dataValidations count="4">
    <x:dataValidation type="list" sqref="B6">
      <x:formula1>"Right,Left,Both / developing both"</x:formula1>
    </x:dataValidation>
    <x:dataValidation type="list" sqref="E5">
      <x:formula1>"Baseline,Mid-cycle,End-cycle,Match observation,Training observation"</x:formula1>
    </x:dataValidation>
    <x:dataValidation type="list" sqref="C9:C29">
      <x:formula1>"1,2,3,4"</x:formula1>
    </x:dataValidation>
    <x:dataValidation type="list" sqref="F9:F29">
      <x:formula1>"High,Medium,Maintain"</x:formula1>
    </x:dataValidation>
  </x:dataValidations>
  <x:pageMargins left="0.7" right="0.7" top="0.75" bottom="0.75" header="0.3" footer="0.3"/>
  <x:drawing xmlns:r="http://schemas.openxmlformats.org/officeDocument/2006/relationships" r:id="R8801bd1d861843b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8" id="{68A4EF95-D0E0-7869-4BFC-FA63AD884FD0}">
            <x14:dataBar gradient="1">
              <x14:cfvo type="min"/>
              <x14:cfvo type="max"/>
              <x14:fillColor rgb="FF2F6B45"/>
            </x14:dataBar>
          </x14:cfRule>
          <xm:sqref>K9:K13</xm:sqref>
        </x14:conditionalFormatting>
      </x14:conditionalFormattings>
    </x:ext>
  </x:extLst>
</x:worksheet>
</file>